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rci" sheetId="1" state="visible" r:id="rId3"/>
    <sheet name="Person_2" sheetId="2" state="visible" r:id="rId4"/>
    <sheet name="Notes" sheetId="3" state="visible" r:id="rId5"/>
    <sheet name="Reference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<sst xmlns="http://schemas.openxmlformats.org/spreadsheetml/2006/main" count="113" uniqueCount="77">
  <si>
    <t xml:space="preserve">name</t>
  </si>
  <si>
    <t xml:space="preserve">Marci</t>
  </si>
  <si>
    <t xml:space="preserve">birth_date</t>
  </si>
  <si>
    <t xml:space="preserve">sex</t>
  </si>
  <si>
    <t xml:space="preserve">0 = female, 1 = male</t>
  </si>
  <si>
    <t xml:space="preserve">height_cm</t>
  </si>
  <si>
    <t xml:space="preserve">source</t>
  </si>
  <si>
    <t xml:space="preserve">filing_new-MartysPC.xlsx / Anthropometrics</t>
  </si>
  <si>
    <t xml:space="preserve">date</t>
  </si>
  <si>
    <t xml:space="preserve">age_years</t>
  </si>
  <si>
    <t xml:space="preserve">body_mass</t>
  </si>
  <si>
    <t xml:space="preserve">abdomen_narrow</t>
  </si>
  <si>
    <t xml:space="preserve">waist</t>
  </si>
  <si>
    <t xml:space="preserve">hip</t>
  </si>
  <si>
    <t xml:space="preserve">neck</t>
  </si>
  <si>
    <t xml:space="preserve">mid_thigh</t>
  </si>
  <si>
    <t xml:space="preserve">forearm</t>
  </si>
  <si>
    <t xml:space="preserve">sf_abdomen</t>
  </si>
  <si>
    <t xml:space="preserve">sf_chest</t>
  </si>
  <si>
    <t xml:space="preserve">sf_thigh</t>
  </si>
  <si>
    <t xml:space="preserve">sf_biceps</t>
  </si>
  <si>
    <t xml:space="preserve">sf_suprailiac</t>
  </si>
  <si>
    <t xml:space="preserve">sf_calf</t>
  </si>
  <si>
    <t xml:space="preserve">sf_triceps</t>
  </si>
  <si>
    <t xml:space="preserve">sf_lower_back</t>
  </si>
  <si>
    <t xml:space="preserve">sf_subscapular</t>
  </si>
  <si>
    <t xml:space="preserve">sf_midaxillary</t>
  </si>
  <si>
    <t xml:space="preserve">bmi</t>
  </si>
  <si>
    <t xml:space="preserve">bf_navy</t>
  </si>
  <si>
    <t xml:space="preserve">bf_jp3</t>
  </si>
  <si>
    <t xml:space="preserve">bf_mod_jp3</t>
  </si>
  <si>
    <t xml:space="preserve">bf_ymca</t>
  </si>
  <si>
    <t xml:space="preserve">fat_mass</t>
  </si>
  <si>
    <t xml:space="preserve">ffm</t>
  </si>
  <si>
    <t xml:space="preserve">ffmi</t>
  </si>
  <si>
    <t xml:space="preserve">ffmi_std</t>
  </si>
  <si>
    <t xml:space="preserve">delta_ffm</t>
  </si>
  <si>
    <t xml:space="preserve">delta_fat_mass</t>
  </si>
  <si>
    <t xml:space="preserve">belly</t>
  </si>
  <si>
    <t xml:space="preserve">bf_durnin_womersley</t>
  </si>
  <si>
    <t xml:space="preserve">bf_parillo</t>
  </si>
  <si>
    <t xml:space="preserve">bf_jp4</t>
  </si>
  <si>
    <t xml:space="preserve">bf_jp7</t>
  </si>
  <si>
    <t xml:space="preserve">item</t>
  </si>
  <si>
    <t xml:space="preserve">note</t>
  </si>
  <si>
    <t xml:space="preserve">Narrowest point of the abdomen ('legszukebb ponton').</t>
  </si>
  <si>
    <t xml:space="preserve">1 cm below the navel after a normal exhalation.</t>
  </si>
  <si>
    <t xml:space="preserve">At the widest point of the buttocks.</t>
  </si>
  <si>
    <t xml:space="preserve">Just below the Adam's apple.</t>
  </si>
  <si>
    <t xml:space="preserve">bf_* columns</t>
  </si>
  <si>
    <t xml:space="preserve">Body-fat estimates expressed as a FRACTION, not a percentage.</t>
  </si>
  <si>
    <t xml:space="preserve">0 = female, 1 = male.</t>
  </si>
  <si>
    <t xml:space="preserve">delta_ffm / delta_fat_mass</t>
  </si>
  <si>
    <t xml:space="preserve">Difference vs the 2024-01-17 baseline observation (positive = loss since baseline).</t>
  </si>
  <si>
    <t xml:space="preserve">ROUNDDOWN((date - birth_date)/365, 1). The source used 0 decimals for older rows and 1 decimal from 2024 onwards; the 1-decimal form is applied throughout here. This shifts the older Jackson/Pollock estimates by at most 0.001 (0.1 percentage points of body fat).</t>
  </si>
  <si>
    <t xml:space="preserve">Male circumference formula. In the source only one cell held this formula and the rest were typed in by hand, but the formula reproduces 92 of 93 hand-typed values exactly. Person_2's values are kept as values (female form differs).</t>
  </si>
  <si>
    <t xml:space="preserve">2013-06-15 bf_navy</t>
  </si>
  <si>
    <t xml:space="preserve">The one hand-typed value the formula does not reproduce: the source stored 0.2920, the formula gives 0.2260 from waist 90 / neck 37.2. The stored value looks like a typo and is now recomputed.</t>
  </si>
  <si>
    <t xml:space="preserve">fat_mass / ffm</t>
  </si>
  <si>
    <t xml:space="preserve">Person 1 uses Mod.JP3 as the body-fat source; Person_2 uses plain Jackson/Pollock 3 (matching the original sheet).</t>
  </si>
  <si>
    <t xml:space="preserve">filing_new-MartysPC.xlsx sheet 'Anthropometrics'</t>
  </si>
  <si>
    <t xml:space="preserve">reference</t>
  </si>
  <si>
    <t xml:space="preserve">https://www.linear-software.com/body-fat-calculator.html</t>
  </si>
  <si>
    <t xml:space="preserve">subject</t>
  </si>
  <si>
    <t xml:space="preserve">waist_height_ratio</t>
  </si>
  <si>
    <t xml:space="preserve">Barbie Doll</t>
  </si>
  <si>
    <t xml:space="preserve">Ken Doll</t>
  </si>
  <si>
    <t xml:space="preserve">Female College Swimmer</t>
  </si>
  <si>
    <t xml:space="preserve">Male College Swimmer</t>
  </si>
  <si>
    <t xml:space="preserve">Body Builder</t>
  </si>
  <si>
    <t xml:space="preserve">Female at increased risk</t>
  </si>
  <si>
    <t xml:space="preserve">General healthy cutoff</t>
  </si>
  <si>
    <t xml:space="preserve">Risk equivalent to BMI of 25</t>
  </si>
  <si>
    <t xml:space="preserve">Males at increased risk</t>
  </si>
  <si>
    <t xml:space="preserve">Risk equivalent to BMI of 30</t>
  </si>
  <si>
    <t xml:space="preserve">Obese</t>
  </si>
  <si>
    <t xml:space="preserve">Substantial risk increase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</si>
</sst>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"/>
    <numFmt numFmtId="167" formatCode="0.0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10.30078125" defaultRowHeight="15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42.71"/>
    <col collapsed="false" customWidth="true" hidden="false" outlineLevel="0" max="3" min="3" style="0" width="20.71"/>
    <col collapsed="false" customWidth="true" hidden="false" outlineLevel="0" max="4" min="4" style="0" width="14.71"/>
    <col collapsed="false" customWidth="true" hidden="false" outlineLevel="0" max="6" min="5" style="0" width="5.71"/>
    <col collapsed="false" customWidth="true" hidden="false" outlineLevel="0" max="7" min="7" style="0" width="4.71"/>
    <col collapsed="false" customWidth="true" hidden="false" outlineLevel="0" max="8" min="8" style="0" width="9.71"/>
    <col collapsed="false" customWidth="true" hidden="false" outlineLevel="0" max="9" min="9" style="0" width="7.71"/>
    <col collapsed="false" customWidth="true" hidden="false" outlineLevel="0" max="10" min="10" style="0" width="10.71"/>
    <col collapsed="false" customWidth="true" hidden="false" outlineLevel="0" max="12" min="11" style="0" width="8.71"/>
    <col collapsed="false" customWidth="true" hidden="false" outlineLevel="0" max="13" min="13" style="0" width="9.71"/>
    <col collapsed="false" customWidth="true" hidden="false" outlineLevel="0" max="14" min="14" style="0" width="13.71"/>
    <col collapsed="false" customWidth="true" hidden="false" outlineLevel="0" max="15" min="15" style="0" width="7.71"/>
    <col collapsed="false" customWidth="true" hidden="false" outlineLevel="0" max="16" min="16" style="0" width="10.71"/>
    <col collapsed="false" customWidth="true" hidden="false" outlineLevel="0" max="17" min="17" style="0" width="13.71"/>
    <col collapsed="false" customWidth="true" hidden="false" outlineLevel="0" max="19" min="18" style="0" width="14.71"/>
    <col collapsed="false" customWidth="true" hidden="false" outlineLevel="0" max="20" min="20" style="0" width="3.71"/>
    <col collapsed="false" customWidth="true" hidden="false" outlineLevel="0" max="21" min="21" style="0" width="7.71"/>
    <col collapsed="false" customWidth="true" hidden="false" outlineLevel="0" max="22" min="22" style="0" width="6.71"/>
    <col collapsed="false" customWidth="true" hidden="false" outlineLevel="0" max="23" min="23" style="0" width="11.71"/>
    <col collapsed="false" customWidth="true" hidden="false" outlineLevel="0" max="24" min="24" style="0" width="7.71"/>
    <col collapsed="false" customWidth="true" hidden="false" outlineLevel="0" max="25" min="25" style="0" width="8.71"/>
    <col collapsed="false" customWidth="true" hidden="false" outlineLevel="0" max="26" min="26" style="0" width="3.71"/>
    <col collapsed="false" customWidth="true" hidden="false" outlineLevel="0" max="27" min="27" style="0" width="4.71"/>
    <col collapsed="false" customWidth="true" hidden="false" outlineLevel="0" max="28" min="28" style="0" width="8.71"/>
    <col collapsed="false" customWidth="true" hidden="false" outlineLevel="0" max="29" min="29" style="0" width="9.71"/>
    <col collapsed="false" customWidth="true" hidden="false" outlineLevel="0" max="30" min="30" style="0" width="14.71"/>
  </cols>
  <sheetData>
    <row r="1" customFormat="false" ht="15" hidden="false" customHeight="false" outlineLevel="0" collapsed="false">
      <c r="A1" s="1" t="s">
        <v>0</v>
      </c>
      <c r="B1" s="0" t="s">
        <v>1</v>
      </c>
    </row>
    <row r="2" customFormat="false" ht="15" hidden="false" customHeight="false" outlineLevel="0" collapsed="false">
      <c r="A2" s="1" t="s">
        <v>2</v>
      </c>
      <c r="B2" s="2" t="n">
        <v>33231</v>
      </c>
    </row>
    <row r="3" customFormat="false" ht="15" hidden="false" customHeight="false" outlineLevel="0" collapsed="false">
      <c r="A3" s="1" t="s">
        <v>3</v>
      </c>
      <c r="B3" s="0" t="n">
        <v>1</v>
      </c>
      <c r="C3" s="0" t="s">
        <v>4</v>
      </c>
    </row>
    <row r="4" customFormat="false" ht="15" hidden="false" customHeight="false" outlineLevel="0" collapsed="false">
      <c r="A4" s="1" t="s">
        <v>5</v>
      </c>
      <c r="B4" s="0" t="n">
        <v>168</v>
      </c>
    </row>
    <row r="5" customFormat="false" ht="15" hidden="false" customHeight="false" outlineLevel="0" collapsed="false">
      <c r="A5" s="1" t="s">
        <v>6</v>
      </c>
      <c r="B5" s="0" t="s">
        <v>7</v>
      </c>
    </row>
    <row r="7" customFormat="false" ht="15" hidden="false" customHeight="false" outlineLevel="0" collapsed="false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18</v>
      </c>
      <c r="L7" s="3" t="s">
        <v>19</v>
      </c>
      <c r="M7" s="3" t="s">
        <v>20</v>
      </c>
      <c r="N7" s="3" t="s">
        <v>21</v>
      </c>
      <c r="O7" s="3" t="s">
        <v>22</v>
      </c>
      <c r="P7" s="3" t="s">
        <v>23</v>
      </c>
      <c r="Q7" s="3" t="s">
        <v>24</v>
      </c>
      <c r="R7" s="3" t="s">
        <v>25</v>
      </c>
      <c r="S7" s="3" t="s">
        <v>26</v>
      </c>
      <c r="T7" s="3" t="s">
        <v>27</v>
      </c>
      <c r="U7" s="3" t="s">
        <v>28</v>
      </c>
      <c r="V7" s="3" t="s">
        <v>29</v>
      </c>
      <c r="W7" s="3" t="s">
        <v>30</v>
      </c>
      <c r="X7" s="3" t="s">
        <v>31</v>
      </c>
      <c r="Y7" s="3" t="s">
        <v>32</v>
      </c>
      <c r="Z7" s="3" t="s">
        <v>33</v>
      </c>
      <c r="AA7" s="3" t="s">
        <v>34</v>
      </c>
      <c r="AB7" s="3" t="s">
        <v>35</v>
      </c>
      <c r="AC7" s="3" t="s">
        <v>36</v>
      </c>
      <c r="AD7" s="3" t="s">
        <v>37</v>
      </c>
    </row>
    <row r="8" customFormat="false" ht="15" hidden="false" customHeight="false" outlineLevel="0" collapsed="false">
      <c r="A8" s="2" t="n">
        <v>41285</v>
      </c>
      <c r="B8" s="0" t="n">
        <f aca="false">ROUNDDOWN((A8-$B$2)/365,1)</f>
        <v>22</v>
      </c>
      <c r="C8" s="0" t="n">
        <v>69</v>
      </c>
      <c r="E8" s="0" t="n">
        <v>88</v>
      </c>
      <c r="F8" s="0" t="n">
        <v>95</v>
      </c>
      <c r="G8" s="0" t="n">
        <v>36.5</v>
      </c>
      <c r="I8" s="0" t="n">
        <v>27</v>
      </c>
      <c r="J8" s="0" t="n">
        <v>28</v>
      </c>
      <c r="K8" s="0" t="n">
        <v>18</v>
      </c>
      <c r="L8" s="0" t="n">
        <v>19</v>
      </c>
      <c r="M8" s="0" t="n">
        <v>8</v>
      </c>
      <c r="N8" s="0" t="n">
        <v>16</v>
      </c>
      <c r="O8" s="0" t="n">
        <v>8</v>
      </c>
      <c r="P8" s="0" t="n">
        <v>15</v>
      </c>
      <c r="Q8" s="0" t="n">
        <v>18</v>
      </c>
      <c r="R8" s="0" t="n">
        <v>17</v>
      </c>
      <c r="S8" s="0" t="n">
        <v>21</v>
      </c>
      <c r="T8" s="4" t="n">
        <f aca="false">C8/(POWER($B$4/100,2))</f>
        <v>24.4472789115646</v>
      </c>
      <c r="U8" s="5" t="n">
        <f aca="false">((86.01*LOG10(E8-G8))-(70.041*LOG10($B$4))+30.3)/100</f>
        <v>0.216696523684717</v>
      </c>
      <c r="V8" s="5" t="n">
        <f aca="false">((495/(1.10938-0.0008267*(K8+J8+L8)+0.0000016*POWER((K8+J8+L8),2)-0.0002575*B8))-450)/100</f>
        <v>0.184219715454943</v>
      </c>
      <c r="W8" s="5" t="n">
        <f aca="false">((495/(1.099075-0.0008209*(K8+J8+L8)+0.0000026*POWER((K8+J8+L8),2)-0.0002017*B8-0.00005675*E8+0.000018586*I8))-450)/100</f>
        <v>0.224310602398449</v>
      </c>
      <c r="X8" s="5" t="n">
        <f aca="false">(0-98.42+4.15*E8/2.54-0.082*C8/0.4536)/(C8/0.45359)</f>
        <v>0.216184823782052</v>
      </c>
      <c r="Y8" s="4" t="n">
        <f aca="false">C8*W8</f>
        <v>15.477431565493</v>
      </c>
      <c r="Z8" s="4" t="n">
        <f aca="false">C8-Y8</f>
        <v>53.522568434507</v>
      </c>
      <c r="AA8" s="4" t="n">
        <f aca="false">Z8/POWER($B$4/100,2)</f>
        <v>18.9634950519087</v>
      </c>
      <c r="AB8" s="4" t="n">
        <f aca="false">AA8+6.1*(1.8-$B$4/100)</f>
        <v>19.6954950519087</v>
      </c>
      <c r="AC8" s="4"/>
      <c r="AD8" s="4"/>
    </row>
    <row r="9" customFormat="false" ht="15" hidden="false" customHeight="false" outlineLevel="0" collapsed="false">
      <c r="A9" s="2" t="n">
        <v>41318</v>
      </c>
      <c r="B9" s="0" t="n">
        <f aca="false">ROUNDDOWN((A9-$B$2)/365,1)</f>
        <v>22.1</v>
      </c>
      <c r="E9" s="0" t="n">
        <v>84.5</v>
      </c>
      <c r="F9" s="0" t="n">
        <v>95</v>
      </c>
      <c r="G9" s="0" t="n">
        <v>35</v>
      </c>
      <c r="I9" s="0" t="n">
        <v>27</v>
      </c>
      <c r="J9" s="0" t="n">
        <v>35</v>
      </c>
      <c r="K9" s="0" t="n">
        <v>15</v>
      </c>
      <c r="L9" s="0" t="n">
        <v>20</v>
      </c>
      <c r="N9" s="0" t="n">
        <v>13</v>
      </c>
      <c r="P9" s="0" t="n">
        <v>22</v>
      </c>
      <c r="T9" s="4"/>
      <c r="U9" s="5" t="n">
        <f aca="false">((86.01*LOG10(E9-G9))-(70.041*LOG10($B$4))+30.3)/100</f>
        <v>0.201901057589151</v>
      </c>
      <c r="V9" s="5" t="n">
        <f aca="false">((495/(1.10938-0.0008267*(K9+J9+L9)+0.0000016*POWER((K9+J9+L9),2)-0.0002575*B9))-450)/100</f>
        <v>0.197909027127102</v>
      </c>
      <c r="W9" s="5" t="n">
        <f aca="false">((495/(1.099075-0.0008209*(K9+J9+L9)+0.0000026*POWER((K9+J9+L9),2)-0.0002017*B9-0.00005675*E9+0.000018586*I9))-450)/100</f>
        <v>0.234119977215743</v>
      </c>
      <c r="X9" s="5"/>
      <c r="Y9" s="4"/>
      <c r="Z9" s="4"/>
      <c r="AA9" s="4"/>
      <c r="AB9" s="4"/>
      <c r="AC9" s="4"/>
      <c r="AD9" s="4"/>
    </row>
    <row r="10" customFormat="false" ht="15" hidden="false" customHeight="false" outlineLevel="0" collapsed="false">
      <c r="A10" s="2" t="n">
        <v>41339</v>
      </c>
      <c r="B10" s="0" t="n">
        <f aca="false">ROUNDDOWN((A10-$B$2)/365,1)</f>
        <v>22.2</v>
      </c>
      <c r="C10" s="0" t="n">
        <v>70</v>
      </c>
      <c r="E10" s="0" t="n">
        <v>85</v>
      </c>
      <c r="F10" s="0" t="n">
        <v>96.5</v>
      </c>
      <c r="G10" s="0" t="n">
        <v>36.5</v>
      </c>
      <c r="I10" s="0" t="n">
        <v>27</v>
      </c>
      <c r="J10" s="0" t="n">
        <v>34</v>
      </c>
      <c r="K10" s="0" t="n">
        <v>14</v>
      </c>
      <c r="L10" s="0" t="n">
        <v>19</v>
      </c>
      <c r="N10" s="0" t="n">
        <v>10</v>
      </c>
      <c r="O10" s="0" t="n">
        <v>9</v>
      </c>
      <c r="T10" s="4" t="n">
        <f aca="false">C10/(POWER($B$4/100,2))</f>
        <v>24.8015873015873</v>
      </c>
      <c r="U10" s="5" t="n">
        <f aca="false">((86.01*LOG10(E10-G10))-(70.041*LOG10($B$4))+30.3)/100</f>
        <v>0.194277595358196</v>
      </c>
      <c r="V10" s="5" t="n">
        <f aca="false">((495/(1.10938-0.0008267*(K10+J10+L10)+0.0000016*POWER((K10+J10+L10),2)-0.0002575*B10))-450)/100</f>
        <v>0.189911573849053</v>
      </c>
      <c r="W10" s="5" t="n">
        <f aca="false">((495/(1.099075-0.0008209*(K10+J10+L10)+0.0000026*POWER((K10+J10+L10),2)-0.0002017*B10-0.00005675*E10+0.000018586*I10))-450)/100</f>
        <v>0.22803559829124</v>
      </c>
      <c r="X10" s="5" t="n">
        <f aca="false">(0-98.42+4.15*E10/2.54-0.082*C10/0.4536)/(C10/0.45359)</f>
        <v>0.180163561910872</v>
      </c>
      <c r="Y10" s="4" t="n">
        <f aca="false">C10*W10</f>
        <v>15.9624918803868</v>
      </c>
      <c r="Z10" s="4" t="n">
        <f aca="false">C10-Y10</f>
        <v>54.0375081196132</v>
      </c>
      <c r="AA10" s="4" t="n">
        <f aca="false">Z10/POWER($B$4/100,2)</f>
        <v>19.1459425026974</v>
      </c>
      <c r="AB10" s="4" t="n">
        <f aca="false">AA10+6.1*(1.8-$B$4/100)</f>
        <v>19.8779425026974</v>
      </c>
      <c r="AC10" s="4"/>
      <c r="AD10" s="4"/>
    </row>
    <row r="11" customFormat="false" ht="15" hidden="false" customHeight="false" outlineLevel="0" collapsed="false">
      <c r="A11" s="2" t="n">
        <v>41362</v>
      </c>
      <c r="B11" s="0" t="n">
        <f aca="false">ROUNDDOWN((A11-$B$2)/365,1)</f>
        <v>22.2</v>
      </c>
      <c r="E11" s="0" t="n">
        <v>84</v>
      </c>
      <c r="F11" s="0" t="n">
        <v>97</v>
      </c>
      <c r="G11" s="0" t="n">
        <v>36</v>
      </c>
      <c r="I11" s="0" t="n">
        <v>27</v>
      </c>
      <c r="J11" s="0" t="n">
        <v>32</v>
      </c>
      <c r="K11" s="0" t="n">
        <v>13</v>
      </c>
      <c r="L11" s="0" t="n">
        <v>17</v>
      </c>
      <c r="M11" s="0" t="n">
        <v>9</v>
      </c>
      <c r="N11" s="0" t="n">
        <v>8</v>
      </c>
      <c r="O11" s="0" t="n">
        <v>8</v>
      </c>
      <c r="P11" s="0" t="n">
        <v>17</v>
      </c>
      <c r="T11" s="4"/>
      <c r="U11" s="5" t="n">
        <f aca="false">((86.01*LOG10(E11-G11))-(70.041*LOG10($B$4))+30.3)/100</f>
        <v>0.190406714253131</v>
      </c>
      <c r="V11" s="5" t="n">
        <f aca="false">((495/(1.10938-0.0008267*(K11+J11+L11)+0.0000016*POWER((K11+J11+L11),2)-0.0002575*B11))-450)/100</f>
        <v>0.176170471447728</v>
      </c>
      <c r="W11" s="5" t="n">
        <f aca="false">((495/(1.099075-0.0008209*(K11+J11+L11)+0.0000026*POWER((K11+J11+L11),2)-0.0002017*B11-0.00005675*E11+0.000018586*I11))-450)/100</f>
        <v>0.216843222618871</v>
      </c>
      <c r="X11" s="5"/>
      <c r="Y11" s="4"/>
      <c r="Z11" s="4"/>
      <c r="AA11" s="4"/>
      <c r="AB11" s="4"/>
      <c r="AC11" s="4"/>
      <c r="AD11" s="4"/>
    </row>
    <row r="12" customFormat="false" ht="15" hidden="false" customHeight="false" outlineLevel="0" collapsed="false">
      <c r="A12" s="2" t="n">
        <v>41377</v>
      </c>
      <c r="B12" s="0" t="n">
        <f aca="false">ROUNDDOWN((A12-$B$2)/365,1)</f>
        <v>22.3</v>
      </c>
      <c r="C12" s="0" t="n">
        <v>71.6</v>
      </c>
      <c r="I12" s="0" t="n">
        <v>27</v>
      </c>
      <c r="J12" s="0" t="n">
        <v>33</v>
      </c>
      <c r="K12" s="0" t="n">
        <v>14</v>
      </c>
      <c r="L12" s="0" t="n">
        <v>19</v>
      </c>
      <c r="N12" s="0" t="n">
        <v>9</v>
      </c>
      <c r="O12" s="0" t="n">
        <v>10</v>
      </c>
      <c r="T12" s="4" t="n">
        <f aca="false">C12/(POWER($B$4/100,2))</f>
        <v>25.3684807256236</v>
      </c>
      <c r="U12" s="5"/>
      <c r="V12" s="5" t="n">
        <f aca="false">((495/(1.10938-0.0008267*(K12+J12+L12)+0.0000016*POWER((K12+J12+L12),2)-0.0002575*B12))-450)/100</f>
        <v>0.187299591310087</v>
      </c>
      <c r="W12" s="5" t="n">
        <v>0.204046027533768</v>
      </c>
      <c r="X12" s="5"/>
      <c r="Y12" s="4" t="n">
        <f aca="false">C12*W12</f>
        <v>14.6096955714178</v>
      </c>
      <c r="Z12" s="4" t="n">
        <f aca="false">C12-Y12</f>
        <v>56.9903044285822</v>
      </c>
      <c r="AA12" s="4" t="n">
        <f aca="false">Z12/POWER($B$4/100,2)</f>
        <v>20.1921430089931</v>
      </c>
      <c r="AB12" s="4" t="n">
        <f aca="false">AA12+6.1*(1.8-$B$4/100)</f>
        <v>20.9241430089931</v>
      </c>
      <c r="AC12" s="4"/>
      <c r="AD12" s="4"/>
    </row>
    <row r="13" customFormat="false" ht="15" hidden="false" customHeight="false" outlineLevel="0" collapsed="false">
      <c r="A13" s="2" t="n">
        <v>41440</v>
      </c>
      <c r="B13" s="0" t="n">
        <f aca="false">ROUNDDOWN((A13-$B$2)/365,1)</f>
        <v>22.4</v>
      </c>
      <c r="C13" s="0" t="n">
        <v>73</v>
      </c>
      <c r="E13" s="0" t="n">
        <v>90</v>
      </c>
      <c r="F13" s="0" t="n">
        <v>97</v>
      </c>
      <c r="G13" s="0" t="n">
        <v>37.2</v>
      </c>
      <c r="I13" s="0" t="n">
        <v>27</v>
      </c>
      <c r="J13" s="0" t="n">
        <v>40</v>
      </c>
      <c r="K13" s="0" t="n">
        <v>18</v>
      </c>
      <c r="L13" s="0" t="n">
        <v>20</v>
      </c>
      <c r="M13" s="0" t="n">
        <v>10</v>
      </c>
      <c r="N13" s="0" t="n">
        <v>12</v>
      </c>
      <c r="O13" s="0" t="n">
        <v>13</v>
      </c>
      <c r="P13" s="0" t="n">
        <v>18</v>
      </c>
      <c r="T13" s="4" t="n">
        <f aca="false">C13/(POWER($B$4/100,2))</f>
        <v>25.8645124716553</v>
      </c>
      <c r="U13" s="5" t="n">
        <f aca="false">((86.01*LOG10(E13-G13))-(70.041*LOG10($B$4))+30.3)/100</f>
        <v>0.226008562757721</v>
      </c>
      <c r="V13" s="5" t="n">
        <f aca="false">((495/(1.10938-0.0008267*(K13+J13+L13)+0.0000016*POWER((K13+J13+L13),2)-0.0002575*B13))-450)/100</f>
        <v>0.21939254648697</v>
      </c>
      <c r="W13" s="5" t="n">
        <f aca="false">((495/(1.099075-0.0008209*(K13+J13+L13)+0.0000026*POWER((K13+J13+L13),2)-0.0002017*B13-0.00005675*E13+0.000018586*I13))-450)/100</f>
        <v>0.251668027944363</v>
      </c>
      <c r="X13" s="5" t="n">
        <f aca="false">(0-98.42+4.15*E13/2.54-0.082*C13/0.4536)/(C13/0.45359)</f>
        <v>0.220150186511085</v>
      </c>
      <c r="Y13" s="4" t="n">
        <f aca="false">C13*W13</f>
        <v>18.3717660399385</v>
      </c>
      <c r="Z13" s="4" t="n">
        <f aca="false">C13-Y13</f>
        <v>54.6282339600615</v>
      </c>
      <c r="AA13" s="4" t="n">
        <f aca="false">Z13/POWER($B$4/100,2)</f>
        <v>19.3552416241715</v>
      </c>
      <c r="AB13" s="4" t="n">
        <f aca="false">AA13+6.1*(1.8-$B$4/100)</f>
        <v>20.0872416241715</v>
      </c>
      <c r="AC13" s="4"/>
      <c r="AD13" s="4"/>
    </row>
    <row r="14" customFormat="false" ht="15" hidden="false" customHeight="false" outlineLevel="0" collapsed="false">
      <c r="A14" s="2" t="n">
        <v>41446</v>
      </c>
      <c r="B14" s="0" t="n">
        <f aca="false">ROUNDDOWN((A14-$B$2)/365,1)</f>
        <v>22.5</v>
      </c>
      <c r="C14" s="0" t="n">
        <v>72.2</v>
      </c>
      <c r="I14" s="0" t="n">
        <v>27</v>
      </c>
      <c r="J14" s="0" t="n">
        <v>37</v>
      </c>
      <c r="K14" s="0" t="n">
        <v>16</v>
      </c>
      <c r="L14" s="0" t="n">
        <v>20</v>
      </c>
      <c r="M14" s="0" t="n">
        <v>10</v>
      </c>
      <c r="N14" s="0" t="n">
        <v>11</v>
      </c>
      <c r="O14" s="0" t="n">
        <v>13</v>
      </c>
      <c r="T14" s="4" t="n">
        <f aca="false">C14/(POWER($B$4/100,2))</f>
        <v>25.5810657596372</v>
      </c>
      <c r="U14" s="5"/>
      <c r="V14" s="5" t="n">
        <f aca="false">((495/(1.10938-0.0008267*(K14+J14+L14)+0.0000016*POWER((K14+J14+L14),2)-0.0002575*B14))-450)/100</f>
        <v>0.20638101120732</v>
      </c>
      <c r="W14" s="5"/>
      <c r="X14" s="5"/>
      <c r="Y14" s="4"/>
      <c r="Z14" s="4"/>
      <c r="AA14" s="4"/>
      <c r="AB14" s="4"/>
      <c r="AC14" s="4"/>
      <c r="AD14" s="4"/>
    </row>
    <row r="15" customFormat="false" ht="15" hidden="false" customHeight="false" outlineLevel="0" collapsed="false">
      <c r="A15" s="2" t="n">
        <v>41452</v>
      </c>
      <c r="B15" s="0" t="n">
        <f aca="false">ROUNDDOWN((A15-$B$2)/365,1)</f>
        <v>22.5</v>
      </c>
      <c r="C15" s="0" t="n">
        <v>71.3</v>
      </c>
      <c r="I15" s="0" t="n">
        <v>27</v>
      </c>
      <c r="J15" s="0" t="n">
        <v>36</v>
      </c>
      <c r="K15" s="0" t="n">
        <v>12</v>
      </c>
      <c r="L15" s="0" t="n">
        <v>18</v>
      </c>
      <c r="M15" s="0" t="n">
        <v>9</v>
      </c>
      <c r="N15" s="0" t="n">
        <v>11</v>
      </c>
      <c r="O15" s="0" t="n">
        <v>10</v>
      </c>
      <c r="T15" s="4" t="n">
        <f aca="false">C15/(POWER($B$4/100,2))</f>
        <v>25.2621882086168</v>
      </c>
      <c r="U15" s="5"/>
      <c r="V15" s="5" t="n">
        <f aca="false">((495/(1.10938-0.0008267*(K15+J15+L15)+0.0000016*POWER((K15+J15+L15),2)-0.0002575*B15))-450)/100</f>
        <v>0.187528187314384</v>
      </c>
      <c r="W15" s="5"/>
      <c r="X15" s="5"/>
      <c r="Y15" s="4"/>
      <c r="Z15" s="4"/>
      <c r="AA15" s="4"/>
      <c r="AB15" s="4"/>
      <c r="AC15" s="4"/>
      <c r="AD15" s="4"/>
    </row>
    <row r="16" customFormat="false" ht="15" hidden="false" customHeight="false" outlineLevel="0" collapsed="false">
      <c r="A16" s="2" t="n">
        <v>41456</v>
      </c>
      <c r="B16" s="0" t="n">
        <f aca="false">ROUNDDOWN((A16-$B$2)/365,1)</f>
        <v>22.5</v>
      </c>
      <c r="C16" s="0" t="n">
        <v>71.9</v>
      </c>
      <c r="I16" s="0" t="n">
        <v>27</v>
      </c>
      <c r="J16" s="0" t="n">
        <v>34</v>
      </c>
      <c r="K16" s="0" t="n">
        <v>12</v>
      </c>
      <c r="L16" s="0" t="n">
        <v>20</v>
      </c>
      <c r="M16" s="0" t="n">
        <v>9</v>
      </c>
      <c r="N16" s="0" t="n">
        <v>9</v>
      </c>
      <c r="O16" s="0" t="n">
        <v>10</v>
      </c>
      <c r="T16" s="4" t="n">
        <f aca="false">C16/(POWER($B$4/100,2))</f>
        <v>25.4747732426304</v>
      </c>
      <c r="U16" s="5"/>
      <c r="V16" s="5" t="n">
        <f aca="false">((495/(1.10938-0.0008267*(K16+J16+L16)+0.0000016*POWER((K16+J16+L16),2)-0.0002575*B16))-450)/100</f>
        <v>0.187528187314384</v>
      </c>
      <c r="W16" s="5"/>
      <c r="X16" s="5"/>
      <c r="Y16" s="4"/>
      <c r="Z16" s="4"/>
      <c r="AA16" s="4"/>
      <c r="AB16" s="4"/>
      <c r="AC16" s="4"/>
      <c r="AD16" s="4"/>
    </row>
    <row r="17" customFormat="false" ht="15" hidden="false" customHeight="false" outlineLevel="0" collapsed="false">
      <c r="A17" s="2" t="n">
        <v>41463</v>
      </c>
      <c r="B17" s="0" t="n">
        <f aca="false">ROUNDDOWN((A17-$B$2)/365,1)</f>
        <v>22.5</v>
      </c>
      <c r="C17" s="0" t="n">
        <v>70.9</v>
      </c>
      <c r="E17" s="0" t="n">
        <v>88</v>
      </c>
      <c r="F17" s="0" t="n">
        <v>96</v>
      </c>
      <c r="G17" s="0" t="n">
        <v>36</v>
      </c>
      <c r="I17" s="0" t="n">
        <v>27</v>
      </c>
      <c r="J17" s="0" t="n">
        <v>30</v>
      </c>
      <c r="K17" s="0" t="n">
        <v>11</v>
      </c>
      <c r="L17" s="0" t="n">
        <v>20</v>
      </c>
      <c r="M17" s="0" t="n">
        <v>9</v>
      </c>
      <c r="N17" s="0" t="n">
        <v>9</v>
      </c>
      <c r="O17" s="0" t="n">
        <v>12</v>
      </c>
      <c r="T17" s="4" t="n">
        <f aca="false">C17/(POWER($B$4/100,2))</f>
        <v>25.1204648526077</v>
      </c>
      <c r="U17" s="5" t="n">
        <f aca="false">((86.01*LOG10(E17-G17))-(70.041*LOG10($B$4))+30.3)/100</f>
        <v>0.22030560184668</v>
      </c>
      <c r="V17" s="5" t="n">
        <f aca="false">((495/(1.10938-0.0008267*(K17+J17+L17)+0.0000016*POWER((K17+J17+L17),2)-0.0002575*B17))-450)/100</f>
        <v>0.17373042007914</v>
      </c>
      <c r="W17" s="5" t="n">
        <f aca="false">((495/(1.099075-0.0008209*(K17+J17+L17)+0.0000026*POWER((K17+J17+L17),2)-0.0002017*B17-0.00005675*E17+0.000018586*I17))-450)/100</f>
        <v>0.215883401686395</v>
      </c>
      <c r="X17" s="5" t="n">
        <f aca="false">(0-98.42+4.15*E17/2.54-0.082*C17/0.4536)/(C17/0.45359)</f>
        <v>0.208194023634779</v>
      </c>
      <c r="Y17" s="4" t="n">
        <f aca="false">C17*W17</f>
        <v>15.3061331795654</v>
      </c>
      <c r="Z17" s="4" t="n">
        <f aca="false">C17-Y17</f>
        <v>55.5938668204346</v>
      </c>
      <c r="AA17" s="4" t="n">
        <f aca="false">Z17/POWER($B$4/100,2)</f>
        <v>19.6973734482832</v>
      </c>
      <c r="AB17" s="4" t="n">
        <f aca="false">AA17+6.1*(1.8-$B$4/100)</f>
        <v>20.4293734482832</v>
      </c>
      <c r="AC17" s="4"/>
      <c r="AD17" s="4"/>
    </row>
    <row r="18" customFormat="false" ht="15" hidden="false" customHeight="false" outlineLevel="0" collapsed="false">
      <c r="A18" s="2" t="n">
        <v>41470</v>
      </c>
      <c r="B18" s="0" t="n">
        <f aca="false">ROUNDDOWN((A18-$B$2)/365,1)</f>
        <v>22.5</v>
      </c>
      <c r="C18" s="0" t="n">
        <v>68.8</v>
      </c>
      <c r="E18" s="0" t="n">
        <v>87</v>
      </c>
      <c r="G18" s="0" t="n">
        <v>36</v>
      </c>
      <c r="I18" s="0" t="n">
        <v>27</v>
      </c>
      <c r="J18" s="0" t="n">
        <v>28</v>
      </c>
      <c r="K18" s="0" t="n">
        <v>12</v>
      </c>
      <c r="L18" s="0" t="n">
        <v>18</v>
      </c>
      <c r="M18" s="0" t="n">
        <v>9</v>
      </c>
      <c r="N18" s="0" t="n">
        <v>8</v>
      </c>
      <c r="O18" s="0" t="n">
        <v>10</v>
      </c>
      <c r="T18" s="4" t="n">
        <f aca="false">C18/(POWER($B$4/100,2))</f>
        <v>24.3764172335601</v>
      </c>
      <c r="U18" s="5" t="n">
        <f aca="false">((86.01*LOG10(E18-G18))-(70.041*LOG10($B$4))+30.3)/100</f>
        <v>0.213052234448224</v>
      </c>
      <c r="V18" s="5" t="n">
        <f aca="false">((495/(1.10938-0.0008267*(K18+J18+L18)+0.0000016*POWER((K18+J18+L18),2)-0.0002575*B18))-450)/100</f>
        <v>0.165321828743953</v>
      </c>
      <c r="W18" s="5" t="n">
        <f aca="false">((495/(1.099075-0.0008209*(K18+J18+L18)+0.0000026*POWER((K18+J18+L18),2)-0.0002017*B18-0.00005675*E18+0.000018586*I18))-450)/100</f>
        <v>0.208744992351962</v>
      </c>
      <c r="X18" s="5" t="n">
        <f aca="false">(0-98.42+4.15*E18/2.54-0.082*C18/0.4536)/(C18/0.45359)</f>
        <v>0.206279806798779</v>
      </c>
      <c r="Y18" s="4" t="n">
        <f aca="false">C18*W18</f>
        <v>14.361655473815</v>
      </c>
      <c r="Z18" s="4" t="n">
        <f aca="false">C18-Y18</f>
        <v>54.438344526185</v>
      </c>
      <c r="AA18" s="4" t="n">
        <f aca="false">Z18/POWER($B$4/100,2)</f>
        <v>19.2879622045724</v>
      </c>
      <c r="AB18" s="4" t="n">
        <f aca="false">AA18+6.1*(1.8-$B$4/100)</f>
        <v>20.0199622045724</v>
      </c>
      <c r="AC18" s="4"/>
      <c r="AD18" s="4"/>
    </row>
    <row r="19" customFormat="false" ht="15" hidden="false" customHeight="false" outlineLevel="0" collapsed="false">
      <c r="A19" s="2" t="n">
        <v>41479</v>
      </c>
      <c r="B19" s="0" t="n">
        <f aca="false">ROUNDDOWN((A19-$B$2)/365,1)</f>
        <v>22.5</v>
      </c>
      <c r="C19" s="0" t="n">
        <v>69.1</v>
      </c>
      <c r="E19" s="0" t="n">
        <v>87</v>
      </c>
      <c r="F19" s="0" t="n">
        <v>95</v>
      </c>
      <c r="G19" s="0" t="n">
        <v>36.5</v>
      </c>
      <c r="I19" s="0" t="n">
        <v>27</v>
      </c>
      <c r="J19" s="0" t="n">
        <v>27</v>
      </c>
      <c r="K19" s="0" t="n">
        <v>10</v>
      </c>
      <c r="L19" s="0" t="n">
        <v>16</v>
      </c>
      <c r="M19" s="0" t="n">
        <v>9</v>
      </c>
      <c r="N19" s="0" t="n">
        <v>9</v>
      </c>
      <c r="O19" s="0" t="n">
        <v>14</v>
      </c>
      <c r="T19" s="4" t="n">
        <f aca="false">C19/(POWER($B$4/100,2))</f>
        <v>24.4827097505669</v>
      </c>
      <c r="U19" s="5" t="n">
        <f aca="false">((86.01*LOG10(E19-G19))-(70.041*LOG10($B$4))+30.3)/100</f>
        <v>0.209372040306249</v>
      </c>
      <c r="V19" s="5" t="n">
        <f aca="false">((495/(1.10938-0.0008267*(K19+J19+L19)+0.0000016*POWER((K19+J19+L19),2)-0.0002575*B19))-450)/100</f>
        <v>0.151094832488001</v>
      </c>
      <c r="W19" s="5" t="n">
        <f aca="false">((495/(1.099075-0.0008209*(K19+J19+L19)+0.0000026*POWER((K19+J19+L19),2)-0.0002017*B19-0.00005675*E19+0.000018586*I19))-450)/100</f>
        <v>0.196853579305397</v>
      </c>
      <c r="X19" s="5" t="n">
        <f aca="false">(0-98.42+4.15*E19/2.54-0.082*C19/0.4536)/(C19/0.45359)</f>
        <v>0.205028238061997</v>
      </c>
      <c r="Y19" s="4" t="n">
        <f aca="false">C19*W19</f>
        <v>13.602582330003</v>
      </c>
      <c r="Z19" s="4" t="n">
        <f aca="false">C19-Y19</f>
        <v>55.497417669997</v>
      </c>
      <c r="AA19" s="4" t="n">
        <f aca="false">Z19/POWER($B$4/100,2)</f>
        <v>19.6632007050726</v>
      </c>
      <c r="AB19" s="4" t="n">
        <f aca="false">AA19+6.1*(1.8-$B$4/100)</f>
        <v>20.3952007050726</v>
      </c>
      <c r="AC19" s="4"/>
      <c r="AD19" s="4"/>
    </row>
    <row r="20" customFormat="false" ht="15" hidden="false" customHeight="false" outlineLevel="0" collapsed="false">
      <c r="A20" s="2" t="n">
        <v>41485</v>
      </c>
      <c r="B20" s="0" t="n">
        <f aca="false">ROUNDDOWN((A20-$B$2)/365,1)</f>
        <v>22.6</v>
      </c>
      <c r="C20" s="0" t="n">
        <v>70</v>
      </c>
      <c r="I20" s="0" t="n">
        <v>27</v>
      </c>
      <c r="J20" s="0" t="n">
        <v>29</v>
      </c>
      <c r="K20" s="0" t="n">
        <v>14</v>
      </c>
      <c r="L20" s="0" t="n">
        <v>18</v>
      </c>
      <c r="M20" s="0" t="n">
        <v>9</v>
      </c>
      <c r="N20" s="0" t="n">
        <v>9</v>
      </c>
      <c r="O20" s="0" t="n">
        <v>12</v>
      </c>
      <c r="T20" s="4" t="n">
        <f aca="false">C20/(POWER($B$4/100,2))</f>
        <v>24.8015873015873</v>
      </c>
      <c r="U20" s="5"/>
      <c r="V20" s="5" t="n">
        <f aca="false">((495/(1.10938-0.0008267*(K20+J20+L20)+0.0000016*POWER((K20+J20+L20),2)-0.0002575*B20))-450)/100</f>
        <v>0.173844054502121</v>
      </c>
      <c r="W20" s="5"/>
      <c r="X20" s="5"/>
      <c r="Y20" s="4"/>
      <c r="Z20" s="4"/>
      <c r="AA20" s="4"/>
      <c r="AB20" s="4"/>
      <c r="AC20" s="4"/>
      <c r="AD20" s="4"/>
    </row>
    <row r="21" customFormat="false" ht="15" hidden="false" customHeight="false" outlineLevel="0" collapsed="false">
      <c r="A21" s="2" t="n">
        <v>41518</v>
      </c>
      <c r="B21" s="0" t="n">
        <f aca="false">ROUNDDOWN((A21-$B$2)/365,1)</f>
        <v>22.7</v>
      </c>
      <c r="C21" s="0" t="n">
        <v>69</v>
      </c>
      <c r="E21" s="0" t="n">
        <v>87</v>
      </c>
      <c r="G21" s="0" t="n">
        <v>36</v>
      </c>
      <c r="I21" s="0" t="n">
        <v>27</v>
      </c>
      <c r="J21" s="0" t="n">
        <v>30</v>
      </c>
      <c r="K21" s="0" t="n">
        <v>11</v>
      </c>
      <c r="L21" s="0" t="n">
        <v>16</v>
      </c>
      <c r="M21" s="0" t="n">
        <v>7</v>
      </c>
      <c r="N21" s="0" t="n">
        <v>8</v>
      </c>
      <c r="O21" s="0" t="n">
        <v>8</v>
      </c>
      <c r="T21" s="4" t="n">
        <f aca="false">C21/(POWER($B$4/100,2))</f>
        <v>24.4472789115646</v>
      </c>
      <c r="U21" s="5" t="n">
        <f aca="false">((86.01*LOG10(E21-G21))-(70.041*LOG10($B$4))+30.3)/100</f>
        <v>0.213052234448224</v>
      </c>
      <c r="V21" s="5" t="n">
        <f aca="false">((495/(1.10938-0.0008267*(K21+J21+L21)+0.0000016*POWER((K21+J21+L21),2)-0.0002575*B21))-450)/100</f>
        <v>0.162723760698655</v>
      </c>
      <c r="W21" s="5" t="n">
        <f aca="false">((495/(1.099075-0.0008209*(K21+J21+L21)+0.0000026*POWER((K21+J21+L21),2)-0.0002017*B21-0.00005675*E21+0.000018586*I21))-450)/100</f>
        <v>0.20658895316868</v>
      </c>
      <c r="X21" s="5" t="n">
        <f aca="false">(0-98.42+4.15*E21/2.54-0.082*C21/0.4536)/(C21/0.45359)</f>
        <v>0.205444218395768</v>
      </c>
      <c r="Y21" s="4" t="n">
        <f aca="false">C21*W21</f>
        <v>14.2546377686389</v>
      </c>
      <c r="Z21" s="4" t="n">
        <f aca="false">C21-Y21</f>
        <v>54.7453622313611</v>
      </c>
      <c r="AA21" s="4" t="n">
        <f aca="false">Z21/POWER($B$4/100,2)</f>
        <v>19.3967411534017</v>
      </c>
      <c r="AB21" s="4" t="n">
        <f aca="false">AA21+6.1*(1.8-$B$4/100)</f>
        <v>20.1287411534017</v>
      </c>
      <c r="AC21" s="4"/>
      <c r="AD21" s="4"/>
    </row>
    <row r="22" customFormat="false" ht="15" hidden="false" customHeight="false" outlineLevel="0" collapsed="false">
      <c r="A22" s="2" t="n">
        <v>41527</v>
      </c>
      <c r="B22" s="0" t="n">
        <f aca="false">ROUNDDOWN((A22-$B$2)/365,1)</f>
        <v>22.7</v>
      </c>
      <c r="C22" s="0" t="n">
        <v>69.4</v>
      </c>
      <c r="E22" s="0" t="n">
        <v>85.5</v>
      </c>
      <c r="F22" s="0" t="n">
        <v>92.5</v>
      </c>
      <c r="G22" s="0" t="n">
        <v>34.5</v>
      </c>
      <c r="I22" s="0" t="n">
        <v>27</v>
      </c>
      <c r="J22" s="0" t="n">
        <v>29</v>
      </c>
      <c r="K22" s="0" t="n">
        <v>9</v>
      </c>
      <c r="L22" s="0" t="n">
        <v>15</v>
      </c>
      <c r="M22" s="0" t="n">
        <v>7</v>
      </c>
      <c r="N22" s="0" t="n">
        <v>8</v>
      </c>
      <c r="O22" s="0" t="n">
        <v>10</v>
      </c>
      <c r="T22" s="4" t="n">
        <f aca="false">C22/(POWER($B$4/100,2))</f>
        <v>24.5890022675737</v>
      </c>
      <c r="U22" s="5" t="n">
        <f aca="false">((86.01*LOG10(E22-G22))-(70.041*LOG10($B$4))+30.3)/100</f>
        <v>0.213052234448224</v>
      </c>
      <c r="V22" s="5" t="n">
        <f aca="false">((495/(1.10938-0.0008267*(K22+J22+L22)+0.0000016*POWER((K22+J22+L22),2)-0.0002575*B22))-450)/100</f>
        <v>0.151319910689019</v>
      </c>
      <c r="W22" s="5" t="n">
        <f aca="false">((495/(1.099075-0.0008209*(K22+J22+L22)+0.0000026*POWER((K22+J22+L22),2)-0.0002017*B22-0.00005675*E22+0.000018586*I22))-450)/100</f>
        <v>0.196653996571178</v>
      </c>
      <c r="X22" s="5" t="n">
        <f aca="false">(0-98.42+4.15*E22/2.54-0.082*C22/0.4536)/(C22/0.45359)</f>
        <v>0.187769439984607</v>
      </c>
      <c r="Y22" s="4" t="n">
        <f aca="false">C22*W22</f>
        <v>13.6477873620398</v>
      </c>
      <c r="Z22" s="4" t="n">
        <f aca="false">C22-Y22</f>
        <v>55.7522126379603</v>
      </c>
      <c r="AA22" s="4" t="n">
        <f aca="false">Z22/POWER($B$4/100,2)</f>
        <v>19.7534766999576</v>
      </c>
      <c r="AB22" s="4" t="n">
        <f aca="false">AA22+6.1*(1.8-$B$4/100)</f>
        <v>20.4854766999576</v>
      </c>
      <c r="AC22" s="4"/>
      <c r="AD22" s="4"/>
    </row>
    <row r="23" customFormat="false" ht="15" hidden="false" customHeight="false" outlineLevel="0" collapsed="false">
      <c r="A23" s="2" t="n">
        <v>41532</v>
      </c>
      <c r="B23" s="0" t="n">
        <f aca="false">ROUNDDOWN((A23-$B$2)/365,1)</f>
        <v>22.7</v>
      </c>
      <c r="C23" s="0" t="n">
        <v>69.6</v>
      </c>
      <c r="D23" s="0" t="n">
        <v>79</v>
      </c>
      <c r="E23" s="0" t="n">
        <v>86.5</v>
      </c>
      <c r="F23" s="0" t="n">
        <v>92.5</v>
      </c>
      <c r="G23" s="0" t="n">
        <v>35.5</v>
      </c>
      <c r="I23" s="0" t="n">
        <v>27</v>
      </c>
      <c r="J23" s="0" t="n">
        <v>27</v>
      </c>
      <c r="K23" s="0" t="n">
        <v>9</v>
      </c>
      <c r="L23" s="0" t="n">
        <v>14</v>
      </c>
      <c r="M23" s="0" t="n">
        <v>6</v>
      </c>
      <c r="N23" s="0" t="n">
        <v>7</v>
      </c>
      <c r="O23" s="0" t="n">
        <v>9</v>
      </c>
      <c r="T23" s="4" t="n">
        <f aca="false">C23/(POWER($B$4/100,2))</f>
        <v>24.6598639455782</v>
      </c>
      <c r="U23" s="5" t="n">
        <f aca="false">((86.01*LOG10(E23-G23))-(70.041*LOG10($B$4))+30.3)/100</f>
        <v>0.213052234448224</v>
      </c>
      <c r="V23" s="5" t="n">
        <f aca="false">((495/(1.10938-0.0008267*(K23+J23+L23)+0.0000016*POWER((K23+J23+L23),2)-0.0002575*B23))-450)/100</f>
        <v>0.14265725066996</v>
      </c>
      <c r="W23" s="5" t="n">
        <f aca="false">((495/(1.099075-0.0008209*(K23+J23+L23)+0.0000026*POWER((K23+J23+L23),2)-0.0002017*B23-0.00005675*E23+0.000018586*I23))-450)/100</f>
        <v>0.189523436105111</v>
      </c>
      <c r="X23" s="5" t="n">
        <f aca="false">(0-98.42+4.15*E23/2.54-0.082*C23/0.4536)/(C23/0.45359)</f>
        <v>0.197642259599674</v>
      </c>
      <c r="Y23" s="4" t="n">
        <f aca="false">C23*W23</f>
        <v>13.1908311529157</v>
      </c>
      <c r="Z23" s="4" t="n">
        <f aca="false">C23-Y23</f>
        <v>56.4091688470843</v>
      </c>
      <c r="AA23" s="4" t="n">
        <f aca="false">Z23/POWER($B$4/100,2)</f>
        <v>19.9862417967277</v>
      </c>
      <c r="AB23" s="4" t="n">
        <f aca="false">AA23+6.1*(1.8-$B$4/100)</f>
        <v>20.7182417967277</v>
      </c>
      <c r="AC23" s="4"/>
      <c r="AD23" s="4"/>
    </row>
    <row r="24" customFormat="false" ht="15" hidden="false" customHeight="false" outlineLevel="0" collapsed="false">
      <c r="A24" s="2" t="n">
        <v>41547</v>
      </c>
      <c r="B24" s="0" t="n">
        <f aca="false">ROUNDDOWN((A24-$B$2)/365,1)</f>
        <v>22.7</v>
      </c>
      <c r="C24" s="0" t="n">
        <v>69.7</v>
      </c>
      <c r="D24" s="0" t="n">
        <v>80</v>
      </c>
      <c r="E24" s="0" t="n">
        <v>87.5</v>
      </c>
      <c r="F24" s="0" t="n">
        <v>92.5</v>
      </c>
      <c r="G24" s="0" t="n">
        <v>35</v>
      </c>
      <c r="I24" s="0" t="n">
        <v>27</v>
      </c>
      <c r="J24" s="0" t="n">
        <v>30</v>
      </c>
      <c r="K24" s="0" t="n">
        <v>8</v>
      </c>
      <c r="L24" s="0" t="n">
        <v>17</v>
      </c>
      <c r="M24" s="0" t="n">
        <v>7</v>
      </c>
      <c r="N24" s="0" t="n">
        <v>7</v>
      </c>
      <c r="O24" s="0" t="n">
        <v>14</v>
      </c>
      <c r="T24" s="4" t="n">
        <f aca="false">C24/(POWER($B$4/100,2))</f>
        <v>24.6952947845805</v>
      </c>
      <c r="U24" s="5" t="n">
        <f aca="false">((86.01*LOG10(E24-G24))-(70.041*LOG10($B$4))+30.3)/100</f>
        <v>0.223880142845852</v>
      </c>
      <c r="V24" s="5" t="n">
        <f aca="false">((495/(1.10938-0.0008267*(K24+J24+L24)+0.0000016*POWER((K24+J24+L24),2)-0.0002575*B24))-450)/100</f>
        <v>0.157042895363537</v>
      </c>
      <c r="W24" s="5" t="n">
        <f aca="false">((495/(1.099075-0.0008209*(K24+J24+L24)+0.0000026*POWER((K24+J24+L24),2)-0.0002017*B24-0.00005675*E24+0.000018586*I24))-450)/100</f>
        <v>0.201979483112953</v>
      </c>
      <c r="X24" s="5" t="n">
        <f aca="false">(0-98.42+4.15*E24/2.54-0.082*C24/0.4536)/(C24/0.45359)</f>
        <v>0.207873790825924</v>
      </c>
      <c r="Y24" s="4" t="n">
        <f aca="false">C24*W24</f>
        <v>14.0779699729728</v>
      </c>
      <c r="Z24" s="4" t="n">
        <f aca="false">C24-Y24</f>
        <v>55.6220300270272</v>
      </c>
      <c r="AA24" s="4" t="n">
        <f aca="false">Z24/POWER($B$4/100,2)</f>
        <v>19.7073519086689</v>
      </c>
      <c r="AB24" s="4" t="n">
        <f aca="false">AA24+6.1*(1.8-$B$4/100)</f>
        <v>20.4393519086689</v>
      </c>
      <c r="AC24" s="4"/>
      <c r="AD24" s="4"/>
    </row>
    <row r="25" customFormat="false" ht="15" hidden="false" customHeight="false" outlineLevel="0" collapsed="false">
      <c r="A25" s="2" t="n">
        <v>41550</v>
      </c>
      <c r="B25" s="0" t="n">
        <f aca="false">ROUNDDOWN((A25-$B$2)/365,1)</f>
        <v>22.7</v>
      </c>
      <c r="C25" s="0" t="n">
        <v>69.9</v>
      </c>
      <c r="D25" s="0" t="n">
        <v>80</v>
      </c>
      <c r="E25" s="0" t="n">
        <v>88</v>
      </c>
      <c r="F25" s="0" t="n">
        <v>93</v>
      </c>
      <c r="G25" s="0" t="n">
        <v>35</v>
      </c>
      <c r="I25" s="0" t="n">
        <v>27</v>
      </c>
      <c r="J25" s="0" t="n">
        <v>30</v>
      </c>
      <c r="K25" s="0" t="n">
        <v>10</v>
      </c>
      <c r="L25" s="0" t="n">
        <v>15</v>
      </c>
      <c r="M25" s="0" t="n">
        <v>7</v>
      </c>
      <c r="N25" s="0" t="n">
        <v>7</v>
      </c>
      <c r="O25" s="0" t="n">
        <v>8</v>
      </c>
      <c r="T25" s="4" t="n">
        <f aca="false">C25/(POWER($B$4/100,2))</f>
        <v>24.766156462585</v>
      </c>
      <c r="U25" s="5" t="n">
        <f aca="false">((86.01*LOG10(E25-G25))-(70.041*LOG10($B$4))+30.3)/100</f>
        <v>0.227420801430027</v>
      </c>
      <c r="V25" s="5" t="n">
        <f aca="false">((495/(1.10938-0.0008267*(K25+J25+L25)+0.0000016*POWER((K25+J25+L25),2)-0.0002575*B25))-450)/100</f>
        <v>0.157042895363537</v>
      </c>
      <c r="W25" s="5" t="n">
        <f aca="false">((495/(1.099075-0.0008209*(K25+J25+L25)+0.0000026*POWER((K25+J25+L25),2)-0.0002017*B25-0.00005675*E25+0.000018586*I25))-450)/100</f>
        <v>0.202106220233744</v>
      </c>
      <c r="X25" s="5" t="n">
        <f aca="false">(0-98.42+4.15*E25/2.54-0.082*C25/0.4536)/(C25/0.45359)</f>
        <v>0.21234555748134</v>
      </c>
      <c r="Y25" s="4" t="n">
        <f aca="false">C25*W25</f>
        <v>14.1272247943387</v>
      </c>
      <c r="Z25" s="4" t="n">
        <f aca="false">C25-Y25</f>
        <v>55.7727752056613</v>
      </c>
      <c r="AA25" s="4" t="n">
        <f aca="false">Z25/POWER($B$4/100,2)</f>
        <v>19.7607621902145</v>
      </c>
      <c r="AB25" s="4" t="n">
        <f aca="false">AA25+6.1*(1.8-$B$4/100)</f>
        <v>20.4927621902145</v>
      </c>
      <c r="AC25" s="4"/>
      <c r="AD25" s="4"/>
    </row>
    <row r="26" customFormat="false" ht="15" hidden="false" customHeight="false" outlineLevel="0" collapsed="false">
      <c r="A26" s="2" t="n">
        <v>41555</v>
      </c>
      <c r="B26" s="0" t="n">
        <f aca="false">ROUNDDOWN((A26-$B$2)/365,1)</f>
        <v>22.8</v>
      </c>
      <c r="C26" s="0" t="n">
        <v>70.4</v>
      </c>
      <c r="D26" s="0" t="n">
        <v>79</v>
      </c>
      <c r="E26" s="0" t="n">
        <v>87</v>
      </c>
      <c r="F26" s="0" t="n">
        <v>93</v>
      </c>
      <c r="G26" s="0" t="n">
        <v>35</v>
      </c>
      <c r="I26" s="0" t="n">
        <v>27</v>
      </c>
      <c r="J26" s="0" t="n">
        <v>27</v>
      </c>
      <c r="K26" s="0" t="n">
        <v>10</v>
      </c>
      <c r="L26" s="0" t="n">
        <v>15</v>
      </c>
      <c r="M26" s="0" t="n">
        <v>7</v>
      </c>
      <c r="N26" s="0" t="n">
        <v>7</v>
      </c>
      <c r="O26" s="0" t="n">
        <v>10</v>
      </c>
      <c r="S26" s="0" t="n">
        <v>16</v>
      </c>
      <c r="T26" s="4" t="n">
        <f aca="false">C26/(POWER($B$4/100,2))</f>
        <v>24.9433106575964</v>
      </c>
      <c r="U26" s="5" t="n">
        <f aca="false">((86.01*LOG10(E26-G26))-(70.041*LOG10($B$4))+30.3)/100</f>
        <v>0.22030560184668</v>
      </c>
      <c r="V26" s="5" t="n">
        <f aca="false">((495/(1.10938-0.0008267*(K26+J26+L26)+0.0000016*POWER((K26+J26+L26),2)-0.0002575*B26))-450)/100</f>
        <v>0.148555144541892</v>
      </c>
      <c r="W26" s="5" t="n">
        <f aca="false">((495/(1.099075-0.0008209*(K26+J26+L26)+0.0000026*POWER((K26+J26+L26),2)-0.0002017*B26-0.00005675*E26+0.000018586*I26))-450)/100</f>
        <v>0.194682455149953</v>
      </c>
      <c r="X26" s="5" t="n">
        <f aca="false">(0-98.42+4.15*E26/2.54-0.082*C26/0.4536)/(C26/0.45359)</f>
        <v>0.199728034093355</v>
      </c>
      <c r="Y26" s="4" t="n">
        <f aca="false">C26*W26</f>
        <v>13.7056448425567</v>
      </c>
      <c r="Z26" s="4" t="n">
        <f aca="false">C26-Y26</f>
        <v>56.6943551574433</v>
      </c>
      <c r="AA26" s="4" t="n">
        <f aca="false">Z26/POWER($B$4/100,2)</f>
        <v>20.0872856992075</v>
      </c>
      <c r="AB26" s="4" t="n">
        <f aca="false">AA26+6.1*(1.8-$B$4/100)</f>
        <v>20.8192856992075</v>
      </c>
      <c r="AC26" s="4"/>
      <c r="AD26" s="4"/>
    </row>
    <row r="27" customFormat="false" ht="15" hidden="false" customHeight="false" outlineLevel="0" collapsed="false">
      <c r="A27" s="2" t="n">
        <v>41561</v>
      </c>
      <c r="B27" s="0" t="n">
        <f aca="false">ROUNDDOWN((A27-$B$2)/365,1)</f>
        <v>22.8</v>
      </c>
      <c r="C27" s="0" t="n">
        <v>69.4</v>
      </c>
      <c r="D27" s="0" t="n">
        <v>79</v>
      </c>
      <c r="E27" s="0" t="n">
        <v>85.5</v>
      </c>
      <c r="F27" s="0" t="n">
        <v>93</v>
      </c>
      <c r="G27" s="0" t="n">
        <v>35</v>
      </c>
      <c r="I27" s="0" t="n">
        <v>27</v>
      </c>
      <c r="J27" s="0" t="n">
        <v>26</v>
      </c>
      <c r="K27" s="0" t="n">
        <v>10</v>
      </c>
      <c r="L27" s="0" t="n">
        <v>15</v>
      </c>
      <c r="M27" s="0" t="n">
        <v>6</v>
      </c>
      <c r="N27" s="0" t="n">
        <v>8</v>
      </c>
      <c r="O27" s="0" t="n">
        <v>10</v>
      </c>
      <c r="T27" s="4" t="n">
        <f aca="false">C27/(POWER($B$4/100,2))</f>
        <v>24.5890022675737</v>
      </c>
      <c r="U27" s="5" t="n">
        <f aca="false">((86.01*LOG10(E27-G27))-(70.041*LOG10($B$4))+30.3)/100</f>
        <v>0.209372040306249</v>
      </c>
      <c r="V27" s="5" t="n">
        <f aca="false">((495/(1.10938-0.0008267*(K27+J27+L27)+0.0000016*POWER((K27+J27+L27),2)-0.0002575*B27))-450)/100</f>
        <v>0.145667436470967</v>
      </c>
      <c r="W27" s="5" t="n">
        <f aca="false">((495/(1.099075-0.0008209*(K27+J27+L27)+0.0000026*POWER((K27+J27+L27),2)-0.0002017*B27-0.00005675*E27+0.000018586*I27))-450)/100</f>
        <v>0.19184245569889</v>
      </c>
      <c r="X27" s="5" t="n">
        <f aca="false">(0-98.42+4.15*E27/2.54-0.082*C27/0.4536)/(C27/0.45359)</f>
        <v>0.187769439984607</v>
      </c>
      <c r="Y27" s="4" t="n">
        <f aca="false">C27*W27</f>
        <v>13.313866425503</v>
      </c>
      <c r="Z27" s="4" t="n">
        <f aca="false">C27-Y27</f>
        <v>56.086133574497</v>
      </c>
      <c r="AA27" s="4" t="n">
        <f aca="false">Z27/POWER($B$4/100,2)</f>
        <v>19.8717876893768</v>
      </c>
      <c r="AB27" s="4" t="n">
        <f aca="false">AA27+6.1*(1.8-$B$4/100)</f>
        <v>20.6037876893768</v>
      </c>
      <c r="AC27" s="4"/>
      <c r="AD27" s="4"/>
    </row>
    <row r="28" customFormat="false" ht="15" hidden="false" customHeight="false" outlineLevel="0" collapsed="false">
      <c r="A28" s="2" t="n">
        <v>41569</v>
      </c>
      <c r="B28" s="0" t="n">
        <f aca="false">ROUNDDOWN((A28-$B$2)/365,1)</f>
        <v>22.8</v>
      </c>
      <c r="C28" s="0" t="n">
        <v>71.2</v>
      </c>
      <c r="D28" s="0" t="n">
        <v>79</v>
      </c>
      <c r="E28" s="0" t="n">
        <v>87</v>
      </c>
      <c r="F28" s="0" t="n">
        <v>93</v>
      </c>
      <c r="G28" s="0" t="n">
        <v>35</v>
      </c>
      <c r="I28" s="0" t="n">
        <v>27</v>
      </c>
      <c r="J28" s="0" t="n">
        <v>28</v>
      </c>
      <c r="K28" s="0" t="n">
        <v>10</v>
      </c>
      <c r="L28" s="0" t="n">
        <v>14</v>
      </c>
      <c r="M28" s="0" t="n">
        <v>6</v>
      </c>
      <c r="N28" s="0" t="n">
        <v>7</v>
      </c>
      <c r="O28" s="0" t="n">
        <v>10</v>
      </c>
      <c r="T28" s="4" t="n">
        <f aca="false">C28/(POWER($B$4/100,2))</f>
        <v>25.2267573696145</v>
      </c>
      <c r="U28" s="5" t="n">
        <f aca="false">((86.01*LOG10(E28-G28))-(70.041*LOG10($B$4))+30.3)/100</f>
        <v>0.22030560184668</v>
      </c>
      <c r="V28" s="5" t="n">
        <f aca="false">((495/(1.10938-0.0008267*(K28+J28+L28)+0.0000016*POWER((K28+J28+L28),2)-0.0002575*B28))-450)/100</f>
        <v>0.148555144541892</v>
      </c>
      <c r="W28" s="5" t="n">
        <f aca="false">((495/(1.099075-0.0008209*(K28+J28+L28)+0.0000026*POWER((K28+J28+L28),2)-0.0002017*B28-0.00005675*E28+0.000018586*I28))-450)/100</f>
        <v>0.194682455149953</v>
      </c>
      <c r="X28" s="5" t="n">
        <f aca="false">(0-98.42+4.15*E28/2.54-0.082*C28/0.4536)/(C28/0.45359)</f>
        <v>0.196562570876128</v>
      </c>
      <c r="Y28" s="4" t="n">
        <f aca="false">C28*W28</f>
        <v>13.8613908066767</v>
      </c>
      <c r="Z28" s="4" t="n">
        <f aca="false">C28-Y28</f>
        <v>57.3386091933233</v>
      </c>
      <c r="AA28" s="4" t="n">
        <f aca="false">Z28/POWER($B$4/100,2)</f>
        <v>20.3155503094258</v>
      </c>
      <c r="AB28" s="4" t="n">
        <f aca="false">AA28+6.1*(1.8-$B$4/100)</f>
        <v>21.0475503094258</v>
      </c>
      <c r="AC28" s="4"/>
      <c r="AD28" s="4"/>
    </row>
    <row r="29" customFormat="false" ht="15" hidden="false" customHeight="false" outlineLevel="0" collapsed="false">
      <c r="A29" s="2" t="n">
        <v>41574</v>
      </c>
      <c r="B29" s="0" t="n">
        <f aca="false">ROUNDDOWN((A29-$B$2)/365,1)</f>
        <v>22.8</v>
      </c>
      <c r="C29" s="0" t="n">
        <v>71.4</v>
      </c>
      <c r="D29" s="0" t="n">
        <v>79</v>
      </c>
      <c r="E29" s="0" t="n">
        <v>87</v>
      </c>
      <c r="F29" s="0" t="n">
        <v>93</v>
      </c>
      <c r="G29" s="0" t="n">
        <v>35</v>
      </c>
      <c r="I29" s="0" t="n">
        <v>27</v>
      </c>
      <c r="J29" s="0" t="n">
        <v>30</v>
      </c>
      <c r="L29" s="0" t="n">
        <v>15</v>
      </c>
      <c r="M29" s="0" t="n">
        <v>8</v>
      </c>
      <c r="N29" s="0" t="n">
        <v>7</v>
      </c>
      <c r="O29" s="0" t="n">
        <v>11</v>
      </c>
      <c r="T29" s="4" t="n">
        <f aca="false">C29/(POWER($B$4/100,2))</f>
        <v>25.2976190476191</v>
      </c>
      <c r="U29" s="5" t="n">
        <f aca="false">((86.01*LOG10(E29-G29))-(70.041*LOG10($B$4))+30.3)/100</f>
        <v>0.22030560184668</v>
      </c>
      <c r="V29" s="5"/>
      <c r="W29" s="5"/>
      <c r="X29" s="5" t="n">
        <f aca="false">(0-98.42+4.15*E29/2.54-0.082*C29/0.4536)/(C29/0.45359)</f>
        <v>0.195782288626503</v>
      </c>
      <c r="Y29" s="4"/>
      <c r="Z29" s="4"/>
      <c r="AA29" s="4"/>
      <c r="AB29" s="4"/>
      <c r="AC29" s="4"/>
      <c r="AD29" s="4"/>
    </row>
    <row r="30" customFormat="false" ht="15" hidden="false" customHeight="false" outlineLevel="0" collapsed="false">
      <c r="A30" s="2" t="n">
        <v>41580</v>
      </c>
      <c r="B30" s="0" t="n">
        <f aca="false">ROUNDDOWN((A30-$B$2)/365,1)</f>
        <v>22.8</v>
      </c>
      <c r="C30" s="0" t="n">
        <v>70.4</v>
      </c>
      <c r="D30" s="0" t="n">
        <v>78.5</v>
      </c>
      <c r="E30" s="0" t="n">
        <v>86.5</v>
      </c>
      <c r="F30" s="0" t="n">
        <v>93</v>
      </c>
      <c r="G30" s="0" t="n">
        <v>35</v>
      </c>
      <c r="I30" s="0" t="n">
        <v>27</v>
      </c>
      <c r="J30" s="0" t="n">
        <v>30</v>
      </c>
      <c r="K30" s="0" t="n">
        <v>10</v>
      </c>
      <c r="L30" s="0" t="n">
        <v>15</v>
      </c>
      <c r="M30" s="0" t="n">
        <v>7</v>
      </c>
      <c r="N30" s="0" t="n">
        <v>7</v>
      </c>
      <c r="T30" s="4" t="n">
        <f aca="false">C30/(POWER($B$4/100,2))</f>
        <v>24.9433106575964</v>
      </c>
      <c r="U30" s="5" t="n">
        <f aca="false">((86.01*LOG10(E30-G30))-(70.041*LOG10($B$4))+30.3)/100</f>
        <v>0.216696523684717</v>
      </c>
      <c r="V30" s="5" t="n">
        <f aca="false">((495/(1.10938-0.0008267*(K30+J30+L30)+0.0000016*POWER((K30+J30+L30),2)-0.0002575*B30))-450)/100</f>
        <v>0.157155719763416</v>
      </c>
      <c r="W30" s="5" t="n">
        <f aca="false">((495/(1.099075-0.0008209*(K30+J30+L30)+0.0000026*POWER((K30+J30+L30),2)-0.0002017*B30-0.00005675*E30+0.000018586*I30))-450)/100</f>
        <v>0.201816108387222</v>
      </c>
      <c r="X30" s="5" t="n">
        <f aca="false">(0-98.42+4.15*E30/2.54-0.082*C30/0.4536)/(C30/0.45359)</f>
        <v>0.194464527192407</v>
      </c>
      <c r="Y30" s="4" t="n">
        <f aca="false">C30*W30</f>
        <v>14.2078540304604</v>
      </c>
      <c r="Z30" s="4" t="n">
        <f aca="false">C30-Y30</f>
        <v>56.1921459695396</v>
      </c>
      <c r="AA30" s="4" t="n">
        <f aca="false">Z30/POWER($B$4/100,2)</f>
        <v>19.9093487703868</v>
      </c>
      <c r="AB30" s="4" t="n">
        <f aca="false">AA30+6.1*(1.8-$B$4/100)</f>
        <v>20.6413487703868</v>
      </c>
      <c r="AC30" s="4"/>
      <c r="AD30" s="4"/>
    </row>
    <row r="31" customFormat="false" ht="15" hidden="false" customHeight="false" outlineLevel="0" collapsed="false">
      <c r="A31" s="2" t="n">
        <v>41588</v>
      </c>
      <c r="B31" s="0" t="n">
        <f aca="false">ROUNDDOWN((A31-$B$2)/365,1)</f>
        <v>22.8</v>
      </c>
      <c r="C31" s="0" t="n">
        <v>71.7</v>
      </c>
      <c r="D31" s="0" t="n">
        <v>78.5</v>
      </c>
      <c r="E31" s="0" t="n">
        <v>86.5</v>
      </c>
      <c r="F31" s="0" t="n">
        <v>93</v>
      </c>
      <c r="G31" s="0" t="n">
        <v>35</v>
      </c>
      <c r="I31" s="0" t="n">
        <v>27</v>
      </c>
      <c r="J31" s="0" t="n">
        <v>30</v>
      </c>
      <c r="K31" s="0" t="n">
        <v>9</v>
      </c>
      <c r="L31" s="0" t="n">
        <v>14</v>
      </c>
      <c r="M31" s="0" t="n">
        <v>7</v>
      </c>
      <c r="N31" s="0" t="n">
        <v>6</v>
      </c>
      <c r="O31" s="0" t="n">
        <v>12</v>
      </c>
      <c r="T31" s="4" t="n">
        <f aca="false">C31/(POWER($B$4/100,2))</f>
        <v>25.4039115646259</v>
      </c>
      <c r="U31" s="5" t="n">
        <f aca="false">((86.01*LOG10(E31-G31))-(70.041*LOG10($B$4))+30.3)/100</f>
        <v>0.216696523684717</v>
      </c>
      <c r="V31" s="5" t="n">
        <f aca="false">((495/(1.10938-0.0008267*(K31+J31+L31)+0.0000016*POWER((K31+J31+L31),2)-0.0002575*B31))-450)/100</f>
        <v>0.151432457958803</v>
      </c>
      <c r="W31" s="5" t="n">
        <f aca="false">((495/(1.099075-0.0008209*(K31+J31+L31)+0.0000026*POWER((K31+J31+L31),2)-0.0002017*B31-0.00005675*E31+0.000018586*I31))-450)/100</f>
        <v>0.196996798224286</v>
      </c>
      <c r="X31" s="5" t="n">
        <f aca="false">(0-98.42+4.15*E31/2.54-0.082*C31/0.4536)/(C31/0.45359)</f>
        <v>0.189451953478851</v>
      </c>
      <c r="Y31" s="4" t="n">
        <f aca="false">C31*W31</f>
        <v>14.1246704326813</v>
      </c>
      <c r="Z31" s="4" t="n">
        <f aca="false">C31-Y31</f>
        <v>57.5753295673187</v>
      </c>
      <c r="AA31" s="4" t="n">
        <f aca="false">Z31/POWER($B$4/100,2)</f>
        <v>20.3994223240216</v>
      </c>
      <c r="AB31" s="4" t="n">
        <f aca="false">AA31+6.1*(1.8-$B$4/100)</f>
        <v>21.1314223240216</v>
      </c>
      <c r="AC31" s="4"/>
      <c r="AD31" s="4"/>
    </row>
    <row r="32" customFormat="false" ht="15" hidden="false" customHeight="false" outlineLevel="0" collapsed="false">
      <c r="A32" s="2" t="n">
        <v>41594</v>
      </c>
      <c r="B32" s="0" t="n">
        <f aca="false">ROUNDDOWN((A32-$B$2)/365,1)</f>
        <v>22.9</v>
      </c>
      <c r="C32" s="0" t="n">
        <v>71.7</v>
      </c>
      <c r="D32" s="0" t="n">
        <v>78.5</v>
      </c>
      <c r="E32" s="0" t="n">
        <v>87</v>
      </c>
      <c r="F32" s="0" t="n">
        <v>93</v>
      </c>
      <c r="G32" s="0" t="n">
        <v>35</v>
      </c>
      <c r="I32" s="0" t="n">
        <v>27</v>
      </c>
      <c r="J32" s="0" t="n">
        <v>30</v>
      </c>
      <c r="K32" s="0" t="n">
        <v>10</v>
      </c>
      <c r="L32" s="0" t="n">
        <v>15</v>
      </c>
      <c r="N32" s="0" t="n">
        <v>7</v>
      </c>
      <c r="O32" s="0" t="n">
        <v>12</v>
      </c>
      <c r="T32" s="4" t="n">
        <f aca="false">C32/(POWER($B$4/100,2))</f>
        <v>25.4039115646259</v>
      </c>
      <c r="U32" s="5" t="n">
        <f aca="false">((86.01*LOG10(E32-G32))-(70.041*LOG10($B$4))+30.3)/100</f>
        <v>0.22030560184668</v>
      </c>
      <c r="V32" s="5" t="n">
        <f aca="false">((495/(1.10938-0.0008267*(K32+J32+L32)+0.0000016*POWER((K32+J32+L32),2)-0.0002575*B32))-450)/100</f>
        <v>0.157268549630135</v>
      </c>
      <c r="W32" s="5" t="n">
        <f aca="false">((495/(1.099075-0.0008209*(K32+J32+L32)+0.0000026*POWER((K32+J32+L32),2)-0.0002017*B32-0.00005675*E32+0.000018586*I32))-450)/100</f>
        <v>0.202032924029695</v>
      </c>
      <c r="X32" s="5" t="n">
        <f aca="false">(0-98.42+4.15*E32/2.54-0.082*C32/0.4536)/(C32/0.45359)</f>
        <v>0.194620027200284</v>
      </c>
      <c r="Y32" s="4" t="n">
        <f aca="false">C32*W32</f>
        <v>14.4857606529291</v>
      </c>
      <c r="Z32" s="4" t="n">
        <f aca="false">C32-Y32</f>
        <v>57.2142393470709</v>
      </c>
      <c r="AA32" s="4" t="n">
        <f aca="false">Z32/POWER($B$4/100,2)</f>
        <v>20.2714850294327</v>
      </c>
      <c r="AB32" s="4" t="n">
        <f aca="false">AA32+6.1*(1.8-$B$4/100)</f>
        <v>21.0034850294327</v>
      </c>
      <c r="AC32" s="4"/>
      <c r="AD32" s="4"/>
    </row>
    <row r="33" customFormat="false" ht="15" hidden="false" customHeight="false" outlineLevel="0" collapsed="false">
      <c r="A33" s="2" t="n">
        <v>41598</v>
      </c>
      <c r="B33" s="0" t="n">
        <f aca="false">ROUNDDOWN((A33-$B$2)/365,1)</f>
        <v>22.9</v>
      </c>
      <c r="C33" s="0" t="n">
        <v>71.5</v>
      </c>
      <c r="D33" s="0" t="n">
        <v>79.5</v>
      </c>
      <c r="E33" s="0" t="n">
        <v>86.7</v>
      </c>
      <c r="F33" s="0" t="n">
        <v>93</v>
      </c>
      <c r="G33" s="0" t="n">
        <v>34.5</v>
      </c>
      <c r="I33" s="0" t="n">
        <v>27</v>
      </c>
      <c r="J33" s="0" t="n">
        <v>30</v>
      </c>
      <c r="K33" s="0" t="n">
        <v>10</v>
      </c>
      <c r="L33" s="0" t="n">
        <v>14</v>
      </c>
      <c r="N33" s="0" t="n">
        <v>8</v>
      </c>
      <c r="T33" s="4" t="n">
        <f aca="false">C33/(POWER($B$4/100,2))</f>
        <v>25.3330498866213</v>
      </c>
      <c r="U33" s="5" t="n">
        <f aca="false">((86.01*LOG10(E33-G33))-(70.041*LOG10($B$4))+30.3)/100</f>
        <v>0.221739525618634</v>
      </c>
      <c r="V33" s="5" t="n">
        <f aca="false">((495/(1.10938-0.0008267*(K33+J33+L33)+0.0000016*POWER((K33+J33+L33),2)-0.0002575*B33))-450)/100</f>
        <v>0.154412022938635</v>
      </c>
      <c r="W33" s="5" t="n">
        <f aca="false">((495/(1.099075-0.0008209*(K33+J33+L33)+0.0000026*POWER((K33+J33+L33),2)-0.0002017*B33-0.00005675*E33+0.000018586*I33))-450)/100</f>
        <v>0.19955744894111</v>
      </c>
      <c r="X33" s="5" t="n">
        <f aca="false">(0-98.42+4.15*E33/2.54-0.082*C33/0.4536)/(C33/0.45359)</f>
        <v>0.192284266534438</v>
      </c>
      <c r="Y33" s="4" t="n">
        <f aca="false">C33*W33</f>
        <v>14.2683575992893</v>
      </c>
      <c r="Z33" s="4" t="n">
        <f aca="false">C33-Y33</f>
        <v>57.2316424007107</v>
      </c>
      <c r="AA33" s="4" t="n">
        <f aca="false">Z33/POWER($B$4/100,2)</f>
        <v>20.2776510773493</v>
      </c>
      <c r="AB33" s="4" t="n">
        <f aca="false">AA33+6.1*(1.8-$B$4/100)</f>
        <v>21.0096510773493</v>
      </c>
      <c r="AC33" s="4"/>
      <c r="AD33" s="4"/>
    </row>
    <row r="34" customFormat="false" ht="15" hidden="false" customHeight="false" outlineLevel="0" collapsed="false">
      <c r="A34" s="2" t="n">
        <v>41603</v>
      </c>
      <c r="B34" s="0" t="n">
        <f aca="false">ROUNDDOWN((A34-$B$2)/365,1)</f>
        <v>22.9</v>
      </c>
      <c r="C34" s="0" t="n">
        <v>71</v>
      </c>
      <c r="D34" s="0" t="n">
        <v>81.5</v>
      </c>
      <c r="E34" s="0" t="n">
        <v>88.5</v>
      </c>
      <c r="F34" s="0" t="n">
        <v>93</v>
      </c>
      <c r="G34" s="0" t="n">
        <v>34.5</v>
      </c>
      <c r="I34" s="0" t="n">
        <v>27</v>
      </c>
      <c r="J34" s="0" t="n">
        <v>29</v>
      </c>
      <c r="K34" s="0" t="n">
        <v>10</v>
      </c>
      <c r="L34" s="0" t="n">
        <v>16</v>
      </c>
      <c r="N34" s="0" t="n">
        <v>8</v>
      </c>
      <c r="O34" s="0" t="n">
        <v>12</v>
      </c>
      <c r="T34" s="4" t="n">
        <f aca="false">C34/(POWER($B$4/100,2))</f>
        <v>25.15589569161</v>
      </c>
      <c r="U34" s="5" t="n">
        <f aca="false">((86.01*LOG10(E34-G34))-(70.041*LOG10($B$4))+30.3)/100</f>
        <v>0.234402998810124</v>
      </c>
      <c r="V34" s="5" t="n">
        <f aca="false">((495/(1.10938-0.0008267*(K34+J34+L34)+0.0000016*POWER((K34+J34+L34),2)-0.0002575*B34))-450)/100</f>
        <v>0.157268549630135</v>
      </c>
      <c r="W34" s="5" t="n">
        <f aca="false">((495/(1.099075-0.0008209*(K34+J34+L34)+0.0000026*POWER((K34+J34+L34),2)-0.0002017*B34-0.00005675*E34+0.000018586*I34))-450)/100</f>
        <v>0.202413164533141</v>
      </c>
      <c r="X34" s="5" t="n">
        <f aca="false">(0-98.42+4.15*E34/2.54-0.082*C34/0.4536)/(C34/0.45359)</f>
        <v>0.21300432876491</v>
      </c>
      <c r="Y34" s="4" t="n">
        <f aca="false">C34*W34</f>
        <v>14.371334681853</v>
      </c>
      <c r="Z34" s="4" t="n">
        <f aca="false">C34-Y34</f>
        <v>56.628665318147</v>
      </c>
      <c r="AA34" s="4" t="n">
        <f aca="false">Z34/POWER($B$4/100,2)</f>
        <v>20.0640112380056</v>
      </c>
      <c r="AB34" s="4" t="n">
        <f aca="false">AA34+6.1*(1.8-$B$4/100)</f>
        <v>20.7960112380056</v>
      </c>
      <c r="AC34" s="4"/>
      <c r="AD34" s="4"/>
    </row>
    <row r="35" customFormat="false" ht="15" hidden="false" customHeight="false" outlineLevel="0" collapsed="false">
      <c r="A35" s="2" t="n">
        <v>41624</v>
      </c>
      <c r="B35" s="0" t="n">
        <f aca="false">ROUNDDOWN((A35-$B$2)/365,1)</f>
        <v>22.9</v>
      </c>
      <c r="C35" s="0" t="n">
        <v>71.4</v>
      </c>
      <c r="D35" s="0" t="n">
        <v>82</v>
      </c>
      <c r="E35" s="0" t="n">
        <v>87.5</v>
      </c>
      <c r="F35" s="0" t="n">
        <v>93</v>
      </c>
      <c r="G35" s="0" t="n">
        <v>35</v>
      </c>
      <c r="I35" s="0" t="n">
        <v>27</v>
      </c>
      <c r="J35" s="0" t="n">
        <v>31</v>
      </c>
      <c r="K35" s="0" t="n">
        <v>10</v>
      </c>
      <c r="L35" s="0" t="n">
        <v>15</v>
      </c>
      <c r="N35" s="0" t="n">
        <v>8</v>
      </c>
      <c r="T35" s="4" t="n">
        <f aca="false">C35/(POWER($B$4/100,2))</f>
        <v>25.2976190476191</v>
      </c>
      <c r="U35" s="5" t="n">
        <f aca="false">((86.01*LOG10(E35-G35))-(70.041*LOG10($B$4))+30.3)/100</f>
        <v>0.223880142845852</v>
      </c>
      <c r="V35" s="5" t="n">
        <f aca="false">((495/(1.10938-0.0008267*(K35+J35+L35)+0.0000016*POWER((K35+J35+L35),2)-0.0002575*B35))-450)/100</f>
        <v>0.160114545615532</v>
      </c>
      <c r="W35" s="5" t="n">
        <f aca="false">((495/(1.099075-0.0008209*(K35+J35+L35)+0.0000026*POWER((K35+J35+L35),2)-0.0002017*B35-0.00005675*E35+0.000018586*I35))-450)/100</f>
        <v>0.204538506408647</v>
      </c>
      <c r="X35" s="5" t="n">
        <f aca="false">(0-98.42+4.15*E35/2.54-0.082*C35/0.4536)/(C35/0.45359)</f>
        <v>0.200972076943405</v>
      </c>
      <c r="Y35" s="4" t="n">
        <f aca="false">C35*W35</f>
        <v>14.6040493575774</v>
      </c>
      <c r="Z35" s="4" t="n">
        <f aca="false">C35-Y35</f>
        <v>56.7959506424226</v>
      </c>
      <c r="AA35" s="4" t="n">
        <f aca="false">Z35/POWER($B$4/100,2)</f>
        <v>20.1232818319241</v>
      </c>
      <c r="AB35" s="4" t="n">
        <f aca="false">AA35+6.1*(1.8-$B$4/100)</f>
        <v>20.8552818319241</v>
      </c>
      <c r="AC35" s="4"/>
      <c r="AD35" s="4"/>
    </row>
    <row r="36" customFormat="false" ht="15" hidden="false" customHeight="false" outlineLevel="0" collapsed="false">
      <c r="A36" s="2" t="n">
        <v>41637</v>
      </c>
      <c r="B36" s="0" t="n">
        <f aca="false">ROUNDDOWN((A36-$B$2)/365,1)</f>
        <v>23</v>
      </c>
      <c r="C36" s="0" t="n">
        <v>73</v>
      </c>
      <c r="D36" s="0" t="n">
        <v>80.5</v>
      </c>
      <c r="E36" s="0" t="n">
        <v>88</v>
      </c>
      <c r="F36" s="0" t="n">
        <v>94</v>
      </c>
      <c r="G36" s="0" t="n">
        <v>35</v>
      </c>
      <c r="I36" s="0" t="n">
        <v>27</v>
      </c>
      <c r="J36" s="0" t="n">
        <v>30</v>
      </c>
      <c r="K36" s="0" t="n">
        <v>11</v>
      </c>
      <c r="L36" s="0" t="n">
        <v>14</v>
      </c>
      <c r="N36" s="0" t="n">
        <v>8</v>
      </c>
      <c r="O36" s="0" t="n">
        <v>12</v>
      </c>
      <c r="T36" s="4" t="n">
        <f aca="false">C36/(POWER($B$4/100,2))</f>
        <v>25.8645124716553</v>
      </c>
      <c r="U36" s="5" t="n">
        <f aca="false">((86.01*LOG10(E36-G36))-(70.041*LOG10($B$4))+30.3)/100</f>
        <v>0.227420801430027</v>
      </c>
      <c r="V36" s="5" t="n">
        <f aca="false">((495/(1.10938-0.0008267*(K36+J36+L36)+0.0000016*POWER((K36+J36+L36),2)-0.0002575*B36))-450)/100</f>
        <v>0.157381384964091</v>
      </c>
      <c r="W36" s="5" t="n">
        <f aca="false">((495/(1.099075-0.0008209*(K36+J36+L36)+0.0000026*POWER((K36+J36+L36),2)-0.0002017*B36-0.00005675*E36+0.000018586*I36))-450)/100</f>
        <v>0.202376511360672</v>
      </c>
      <c r="X36" s="5" t="n">
        <f aca="false">(0-98.42+4.15*E36/2.54-0.082*C36/0.4536)/(C36/0.45359)</f>
        <v>0.199846028383591</v>
      </c>
      <c r="Y36" s="4" t="n">
        <f aca="false">C36*W36</f>
        <v>14.7734853293291</v>
      </c>
      <c r="Z36" s="4" t="n">
        <f aca="false">C36-Y36</f>
        <v>58.2265146706709</v>
      </c>
      <c r="AA36" s="4" t="n">
        <f aca="false">Z36/POWER($B$4/100,2)</f>
        <v>20.6301426695971</v>
      </c>
      <c r="AB36" s="4" t="n">
        <f aca="false">AA36+6.1*(1.8-$B$4/100)</f>
        <v>21.3621426695971</v>
      </c>
      <c r="AC36" s="4"/>
      <c r="AD36" s="4"/>
    </row>
    <row r="37" customFormat="false" ht="15" hidden="false" customHeight="false" outlineLevel="0" collapsed="false">
      <c r="A37" s="2" t="n">
        <v>41643</v>
      </c>
      <c r="B37" s="0" t="n">
        <f aca="false">ROUNDDOWN((A37-$B$2)/365,1)</f>
        <v>23</v>
      </c>
      <c r="C37" s="0" t="n">
        <v>72.7</v>
      </c>
      <c r="D37" s="0" t="n">
        <v>80.5</v>
      </c>
      <c r="E37" s="0" t="n">
        <v>86.5</v>
      </c>
      <c r="F37" s="0" t="n">
        <v>94</v>
      </c>
      <c r="G37" s="0" t="n">
        <v>35</v>
      </c>
      <c r="I37" s="0" t="n">
        <v>27</v>
      </c>
      <c r="J37" s="0" t="n">
        <v>28</v>
      </c>
      <c r="K37" s="0" t="n">
        <v>11</v>
      </c>
      <c r="L37" s="0" t="n">
        <v>14</v>
      </c>
      <c r="T37" s="4" t="n">
        <f aca="false">C37/(POWER($B$4/100,2))</f>
        <v>25.7582199546485</v>
      </c>
      <c r="U37" s="5" t="n">
        <f aca="false">((86.01*LOG10(E37-G37))-(70.041*LOG10($B$4))+30.3)/100</f>
        <v>0.216696523684717</v>
      </c>
      <c r="V37" s="5" t="n">
        <f aca="false">((495/(1.10938-0.0008267*(K37+J37+L37)+0.0000016*POWER((K37+J37+L37),2)-0.0002575*B37))-450)/100</f>
        <v>0.151657568838893</v>
      </c>
      <c r="W37" s="5" t="n">
        <f aca="false">((495/(1.099075-0.0008209*(K37+J37+L37)+0.0000026*POWER((K37+J37+L37),2)-0.0002017*B37-0.00005675*E37+0.000018586*I37))-450)/100</f>
        <v>0.197176597462574</v>
      </c>
      <c r="X37" s="5" t="n">
        <f aca="false">(0-98.42+4.15*E37/2.54-0.082*C37/0.4536)/(C37/0.45359)</f>
        <v>0.185718113785334</v>
      </c>
      <c r="Y37" s="4" t="n">
        <f aca="false">C37*W37</f>
        <v>14.3347386355291</v>
      </c>
      <c r="Z37" s="4" t="n">
        <f aca="false">C37-Y37</f>
        <v>58.3652613644709</v>
      </c>
      <c r="AA37" s="4" t="n">
        <f aca="false">Z37/POWER($B$4/100,2)</f>
        <v>20.6793017872984</v>
      </c>
      <c r="AB37" s="4" t="n">
        <f aca="false">AA37+6.1*(1.8-$B$4/100)</f>
        <v>21.4113017872984</v>
      </c>
      <c r="AC37" s="4"/>
      <c r="AD37" s="4"/>
    </row>
    <row r="38" customFormat="false" ht="15" hidden="false" customHeight="false" outlineLevel="0" collapsed="false">
      <c r="A38" s="2" t="n">
        <v>41652</v>
      </c>
      <c r="B38" s="0" t="n">
        <f aca="false">ROUNDDOWN((A38-$B$2)/365,1)</f>
        <v>23</v>
      </c>
      <c r="C38" s="0" t="n">
        <v>72.8</v>
      </c>
      <c r="D38" s="0" t="n">
        <v>81</v>
      </c>
      <c r="E38" s="0" t="n">
        <v>88.5</v>
      </c>
      <c r="F38" s="0" t="n">
        <v>94</v>
      </c>
      <c r="G38" s="0" t="n">
        <v>35</v>
      </c>
      <c r="I38" s="0" t="n">
        <v>27</v>
      </c>
      <c r="J38" s="0" t="n">
        <v>29</v>
      </c>
      <c r="K38" s="0" t="n">
        <v>10</v>
      </c>
      <c r="L38" s="0" t="n">
        <v>14</v>
      </c>
      <c r="T38" s="4" t="n">
        <f aca="false">C38/(POWER($B$4/100,2))</f>
        <v>25.7936507936508</v>
      </c>
      <c r="U38" s="5" t="n">
        <f aca="false">((86.01*LOG10(E38-G38))-(70.041*LOG10($B$4))+30.3)/100</f>
        <v>0.230928213902847</v>
      </c>
      <c r="V38" s="5" t="n">
        <f aca="false">((495/(1.10938-0.0008267*(K38+J38+L38)+0.0000016*POWER((K38+J38+L38),2)-0.0002575*B38))-450)/100</f>
        <v>0.151657568838893</v>
      </c>
      <c r="W38" s="5" t="n">
        <f aca="false">((495/(1.099075-0.0008209*(K38+J38+L38)+0.0000026*POWER((K38+J38+L38),2)-0.0002017*B38-0.00005675*E38+0.000018586*I38))-450)/100</f>
        <v>0.197682551675857</v>
      </c>
      <c r="X38" s="5" t="n">
        <f aca="false">(0-98.42+4.15*E38/2.54-0.082*C38/0.4536)/(C38/0.45359)</f>
        <v>0.205710310388418</v>
      </c>
      <c r="Y38" s="4" t="n">
        <f aca="false">C38*W38</f>
        <v>14.3912897620024</v>
      </c>
      <c r="Z38" s="4" t="n">
        <f aca="false">C38-Y38</f>
        <v>58.4087102379976</v>
      </c>
      <c r="AA38" s="4" t="n">
        <f aca="false">Z38/POWER($B$4/100,2)</f>
        <v>20.6946960877259</v>
      </c>
      <c r="AB38" s="4" t="n">
        <f aca="false">AA38+6.1*(1.8-$B$4/100)</f>
        <v>21.4266960877259</v>
      </c>
      <c r="AC38" s="4"/>
      <c r="AD38" s="4"/>
    </row>
    <row r="39" customFormat="false" ht="15" hidden="false" customHeight="false" outlineLevel="0" collapsed="false">
      <c r="A39" s="2" t="n">
        <v>41744</v>
      </c>
      <c r="B39" s="0" t="n">
        <f aca="false">ROUNDDOWN((A39-$B$2)/365,1)</f>
        <v>23.3</v>
      </c>
      <c r="C39" s="0" t="n">
        <v>71</v>
      </c>
      <c r="D39" s="0" t="n">
        <v>80</v>
      </c>
      <c r="E39" s="0" t="n">
        <v>89</v>
      </c>
      <c r="F39" s="0" t="n">
        <v>94</v>
      </c>
      <c r="G39" s="0" t="n">
        <v>34.5</v>
      </c>
      <c r="T39" s="4" t="n">
        <f aca="false">C39/(POWER($B$4/100,2))</f>
        <v>25.15589569161</v>
      </c>
      <c r="U39" s="5" t="n">
        <f aca="false">((86.01*LOG10(E39-G39))-(70.041*LOG10($B$4))+30.3)/100</f>
        <v>0.237845757594529</v>
      </c>
      <c r="V39" s="5"/>
      <c r="W39" s="5"/>
      <c r="X39" s="5" t="n">
        <f aca="false">(0-98.42+4.15*E39/2.54-0.082*C39/0.4536)/(C39/0.45359)</f>
        <v>0.21822335532585</v>
      </c>
      <c r="Y39" s="4"/>
      <c r="Z39" s="4"/>
      <c r="AA39" s="4"/>
      <c r="AB39" s="4"/>
      <c r="AC39" s="4"/>
      <c r="AD39" s="4"/>
    </row>
    <row r="40" customFormat="false" ht="15" hidden="false" customHeight="false" outlineLevel="0" collapsed="false">
      <c r="A40" s="2" t="n">
        <v>41991</v>
      </c>
      <c r="B40" s="0" t="n">
        <f aca="false">ROUNDDOWN((A40-$B$2)/365,1)</f>
        <v>24</v>
      </c>
      <c r="C40" s="0" t="n">
        <v>73</v>
      </c>
      <c r="D40" s="0" t="n">
        <v>84</v>
      </c>
      <c r="E40" s="0" t="n">
        <v>92.3</v>
      </c>
      <c r="F40" s="0" t="n">
        <v>95.5</v>
      </c>
      <c r="G40" s="0" t="n">
        <v>35.5</v>
      </c>
      <c r="I40" s="0" t="n">
        <v>27</v>
      </c>
      <c r="J40" s="0" t="n">
        <v>36</v>
      </c>
      <c r="K40" s="0" t="n">
        <v>16</v>
      </c>
      <c r="L40" s="0" t="n">
        <v>18</v>
      </c>
      <c r="M40" s="0" t="n">
        <v>8</v>
      </c>
      <c r="O40" s="0" t="n">
        <v>12</v>
      </c>
      <c r="T40" s="4" t="n">
        <f aca="false">C40/(POWER($B$4/100,2))</f>
        <v>25.8645124716553</v>
      </c>
      <c r="U40" s="5" t="n">
        <f aca="false">((86.01*LOG10(E40-G40))-(70.041*LOG10($B$4))+30.3)/100</f>
        <v>0.253286129531436</v>
      </c>
      <c r="V40" s="5" t="n">
        <f aca="false">((495/(1.10938-0.0008267*(K40+J40+L40)+0.0000016*POWER((K40+J40+L40),2)-0.0002575*B40))-450)/100</f>
        <v>0.200091438142524</v>
      </c>
      <c r="W40" s="5" t="n">
        <f aca="false">((495/(1.099075-0.0008209*(K40+J40+L40)+0.0000026*POWER((K40+J40+L40),2)-0.0002017*B40-0.00005675*E40+0.000018586*I40))-450)/100</f>
        <v>0.23786223274254</v>
      </c>
      <c r="X40" s="5" t="n">
        <f aca="false">(0-98.42+4.15*E40/2.54-0.082*C40/0.4536)/(C40/0.45359)</f>
        <v>0.243499968357703</v>
      </c>
      <c r="Y40" s="4" t="n">
        <f aca="false">C40*W40</f>
        <v>17.3639429902054</v>
      </c>
      <c r="Z40" s="4" t="n">
        <f aca="false">C40-Y40</f>
        <v>55.6360570097946</v>
      </c>
      <c r="AA40" s="4" t="n">
        <f aca="false">Z40/POWER($B$4/100,2)</f>
        <v>19.7123217863501</v>
      </c>
      <c r="AB40" s="4" t="n">
        <f aca="false">AA40+6.1*(1.8-$B$4/100)</f>
        <v>20.4443217863501</v>
      </c>
      <c r="AC40" s="4"/>
      <c r="AD40" s="4"/>
    </row>
    <row r="41" customFormat="false" ht="15" hidden="false" customHeight="false" outlineLevel="0" collapsed="false">
      <c r="A41" s="2" t="n">
        <v>42001</v>
      </c>
      <c r="B41" s="0" t="n">
        <f aca="false">ROUNDDOWN((A41-$B$2)/365,1)</f>
        <v>24</v>
      </c>
      <c r="C41" s="0" t="n">
        <v>72.7</v>
      </c>
      <c r="D41" s="0" t="n">
        <v>81.5</v>
      </c>
      <c r="E41" s="0" t="n">
        <v>89.5</v>
      </c>
      <c r="F41" s="0" t="n">
        <v>94</v>
      </c>
      <c r="G41" s="0" t="n">
        <v>35</v>
      </c>
      <c r="I41" s="0" t="n">
        <v>27</v>
      </c>
      <c r="J41" s="0" t="n">
        <v>36</v>
      </c>
      <c r="K41" s="0" t="n">
        <v>15</v>
      </c>
      <c r="L41" s="0" t="n">
        <v>18</v>
      </c>
      <c r="M41" s="0" t="n">
        <v>8</v>
      </c>
      <c r="O41" s="0" t="n">
        <v>12</v>
      </c>
      <c r="T41" s="4" t="n">
        <f aca="false">C41/(POWER($B$4/100,2))</f>
        <v>25.7582199546485</v>
      </c>
      <c r="U41" s="5" t="n">
        <f aca="false">((86.01*LOG10(E41-G41))-(70.041*LOG10($B$4))+30.3)/100</f>
        <v>0.237845757594529</v>
      </c>
      <c r="V41" s="5" t="n">
        <f aca="false">((495/(1.10938-0.0008267*(K41+J41+L41)+0.0000016*POWER((K41+J41+L41),2)-0.0002575*B41))-450)/100</f>
        <v>0.197396114712502</v>
      </c>
      <c r="W41" s="5" t="n">
        <f aca="false">((495/(1.099075-0.0008209*(K41+J41+L41)+0.0000026*POWER((K41+J41+L41),2)-0.0002017*B41-0.00005675*E41+0.000018586*I41))-450)/100</f>
        <v>0.235059561505916</v>
      </c>
      <c r="X41" s="5" t="n">
        <f aca="false">(0-98.42+4.15*E41/2.54-0.082*C41/0.4536)/(C41/0.45359)</f>
        <v>0.216300030084655</v>
      </c>
      <c r="Y41" s="4" t="n">
        <f aca="false">C41*W41</f>
        <v>17.0888301214801</v>
      </c>
      <c r="Z41" s="4" t="n">
        <f aca="false">C41-Y41</f>
        <v>55.6111698785199</v>
      </c>
      <c r="AA41" s="4" t="n">
        <f aca="false">Z41/POWER($B$4/100,2)</f>
        <v>19.7035040669359</v>
      </c>
      <c r="AB41" s="4" t="n">
        <f aca="false">AA41+6.1*(1.8-$B$4/100)</f>
        <v>20.4355040669359</v>
      </c>
      <c r="AC41" s="4"/>
      <c r="AD41" s="4"/>
    </row>
    <row r="42" customFormat="false" ht="15" hidden="false" customHeight="false" outlineLevel="0" collapsed="false">
      <c r="A42" s="2" t="n">
        <v>42011</v>
      </c>
      <c r="B42" s="0" t="n">
        <f aca="false">ROUNDDOWN((A42-$B$2)/365,1)</f>
        <v>24</v>
      </c>
      <c r="C42" s="0" t="n">
        <v>73.7</v>
      </c>
      <c r="D42" s="0" t="n">
        <v>82</v>
      </c>
      <c r="E42" s="0" t="n">
        <v>90.5</v>
      </c>
      <c r="F42" s="0" t="n">
        <v>95.5</v>
      </c>
      <c r="G42" s="0" t="n">
        <v>35</v>
      </c>
      <c r="I42" s="0" t="n">
        <v>27</v>
      </c>
      <c r="J42" s="0" t="n">
        <v>37</v>
      </c>
      <c r="K42" s="0" t="n">
        <v>16</v>
      </c>
      <c r="L42" s="0" t="n">
        <v>17</v>
      </c>
      <c r="M42" s="0" t="n">
        <v>8</v>
      </c>
      <c r="O42" s="0" t="n">
        <v>12</v>
      </c>
      <c r="T42" s="4" t="n">
        <f aca="false">C42/(POWER($B$4/100,2))</f>
        <v>26.1125283446712</v>
      </c>
      <c r="U42" s="5" t="n">
        <f aca="false">((86.01*LOG10(E42-G42))-(70.041*LOG10($B$4))+30.3)/100</f>
        <v>0.244637520770203</v>
      </c>
      <c r="V42" s="5" t="n">
        <f aca="false">((495/(1.10938-0.0008267*(K42+J42+L42)+0.0000016*POWER((K42+J42+L42),2)-0.0002575*B42))-450)/100</f>
        <v>0.200091438142524</v>
      </c>
      <c r="W42" s="5" t="n">
        <f aca="false">((495/(1.099075-0.0008209*(K42+J42+L42)+0.0000026*POWER((K42+J42+L42),2)-0.0002017*B42-0.00005675*E42+0.000018586*I42))-450)/100</f>
        <v>0.237399046588585</v>
      </c>
      <c r="X42" s="5" t="n">
        <f aca="false">(0-98.42+4.15*E42/2.54-0.082*C42/0.4536)/(C42/0.45359)</f>
        <v>0.222308219356419</v>
      </c>
      <c r="Y42" s="4" t="n">
        <f aca="false">C42*W42</f>
        <v>17.4963097335787</v>
      </c>
      <c r="Z42" s="4" t="n">
        <f aca="false">C42-Y42</f>
        <v>56.2036902664213</v>
      </c>
      <c r="AA42" s="4" t="n">
        <f aca="false">Z42/POWER($B$4/100,2)</f>
        <v>19.9134390116289</v>
      </c>
      <c r="AB42" s="4" t="n">
        <f aca="false">AA42+6.1*(1.8-$B$4/100)</f>
        <v>20.6454390116289</v>
      </c>
      <c r="AC42" s="4"/>
      <c r="AD42" s="4"/>
    </row>
    <row r="43" customFormat="false" ht="15" hidden="false" customHeight="false" outlineLevel="0" collapsed="false">
      <c r="A43" s="2" t="n">
        <v>42014</v>
      </c>
      <c r="B43" s="0" t="n">
        <f aca="false">ROUNDDOWN((A43-$B$2)/365,1)</f>
        <v>24</v>
      </c>
      <c r="C43" s="0" t="n">
        <v>73.4</v>
      </c>
      <c r="D43" s="0" t="n">
        <v>81.5</v>
      </c>
      <c r="E43" s="0" t="n">
        <v>90</v>
      </c>
      <c r="F43" s="0" t="n">
        <v>95.5</v>
      </c>
      <c r="G43" s="0" t="n">
        <v>35</v>
      </c>
      <c r="I43" s="0" t="n">
        <v>27.1</v>
      </c>
      <c r="J43" s="0" t="n">
        <v>36</v>
      </c>
      <c r="K43" s="0" t="n">
        <v>15</v>
      </c>
      <c r="L43" s="0" t="n">
        <v>17</v>
      </c>
      <c r="M43" s="0" t="n">
        <v>9</v>
      </c>
      <c r="O43" s="0" t="n">
        <v>10</v>
      </c>
      <c r="T43" s="4" t="n">
        <f aca="false">C43/(POWER($B$4/100,2))</f>
        <v>26.0062358276644</v>
      </c>
      <c r="U43" s="5" t="n">
        <f aca="false">((86.01*LOG10(E43-G43))-(70.041*LOG10($B$4))+30.3)/100</f>
        <v>0.241257075220388</v>
      </c>
      <c r="V43" s="5" t="n">
        <f aca="false">((495/(1.10938-0.0008267*(K43+J43+L43)+0.0000016*POWER((K43+J43+L43),2)-0.0002575*B43))-450)/100</f>
        <v>0.194689632645753</v>
      </c>
      <c r="W43" s="5" t="n">
        <f aca="false">((495/(1.099075-0.0008209*(K43+J43+L43)+0.0000026*POWER((K43+J43+L43),2)-0.0002017*B43-0.00005675*E43+0.000018586*I43))-450)/100</f>
        <v>0.233075661341336</v>
      </c>
      <c r="X43" s="5" t="n">
        <f aca="false">(0-98.42+4.15*E43/2.54-0.082*C43/0.4536)/(C43/0.45359)</f>
        <v>0.21850360134078</v>
      </c>
      <c r="Y43" s="4" t="n">
        <f aca="false">C43*W43</f>
        <v>17.1077535424541</v>
      </c>
      <c r="Z43" s="4" t="n">
        <f aca="false">C43-Y43</f>
        <v>56.2922464575459</v>
      </c>
      <c r="AA43" s="4" t="n">
        <f aca="false">Z43/POWER($B$4/100,2)</f>
        <v>19.9448152131328</v>
      </c>
      <c r="AB43" s="4" t="n">
        <f aca="false">AA43+6.1*(1.8-$B$4/100)</f>
        <v>20.6768152131328</v>
      </c>
      <c r="AC43" s="4"/>
      <c r="AD43" s="4"/>
    </row>
    <row r="44" customFormat="false" ht="15" hidden="false" customHeight="false" outlineLevel="0" collapsed="false">
      <c r="A44" s="2" t="n">
        <v>42018</v>
      </c>
      <c r="B44" s="0" t="n">
        <f aca="false">ROUNDDOWN((A44-$B$2)/365,1)</f>
        <v>24</v>
      </c>
      <c r="C44" s="0" t="n">
        <v>73</v>
      </c>
      <c r="D44" s="0" t="n">
        <v>82.5</v>
      </c>
      <c r="E44" s="0" t="n">
        <v>90.5</v>
      </c>
      <c r="F44" s="0" t="n">
        <v>95.5</v>
      </c>
      <c r="G44" s="0" t="n">
        <v>34.5</v>
      </c>
      <c r="I44" s="0" t="n">
        <v>27</v>
      </c>
      <c r="J44" s="0" t="n">
        <v>35</v>
      </c>
      <c r="K44" s="0" t="n">
        <v>13</v>
      </c>
      <c r="L44" s="0" t="n">
        <v>16</v>
      </c>
      <c r="M44" s="0" t="n">
        <v>8</v>
      </c>
      <c r="O44" s="0" t="n">
        <v>10</v>
      </c>
      <c r="T44" s="4" t="n">
        <f aca="false">C44/(POWER($B$4/100,2))</f>
        <v>25.8645124716553</v>
      </c>
      <c r="U44" s="5" t="n">
        <f aca="false">((86.01*LOG10(E44-G44))-(70.041*LOG10($B$4))+30.3)/100</f>
        <v>0.247987648014422</v>
      </c>
      <c r="V44" s="5" t="n">
        <f aca="false">((495/(1.10938-0.0008267*(K44+J44+L44)+0.0000016*POWER((K44+J44+L44),2)-0.0002575*B44))-450)/100</f>
        <v>0.183752997601919</v>
      </c>
      <c r="W44" s="5" t="n">
        <f aca="false">((495/(1.099075-0.0008209*(K44+J44+L44)+0.0000026*POWER((K44+J44+L44),2)-0.0002017*B44-0.00005675*E44+0.000018586*I44))-450)/100</f>
        <v>0.224580137945083</v>
      </c>
      <c r="X44" s="5" t="n">
        <f aca="false">(0-98.42+4.15*E44/2.54-0.082*C44/0.4536)/(C44/0.45359)</f>
        <v>0.225226226042958</v>
      </c>
      <c r="Y44" s="4" t="n">
        <f aca="false">C44*W44</f>
        <v>16.3943500699911</v>
      </c>
      <c r="Z44" s="4" t="n">
        <f aca="false">C44-Y44</f>
        <v>56.6056499300089</v>
      </c>
      <c r="AA44" s="4" t="n">
        <f aca="false">Z44/POWER($B$4/100,2)</f>
        <v>20.0558566928887</v>
      </c>
      <c r="AB44" s="4" t="n">
        <f aca="false">AA44+6.1*(1.8-$B$4/100)</f>
        <v>20.7878566928887</v>
      </c>
      <c r="AC44" s="4"/>
      <c r="AD44" s="4"/>
    </row>
    <row r="45" customFormat="false" ht="15" hidden="false" customHeight="false" outlineLevel="0" collapsed="false">
      <c r="A45" s="2" t="n">
        <v>42240</v>
      </c>
      <c r="B45" s="0" t="n">
        <f aca="false">ROUNDDOWN((A45-$B$2)/365,1)</f>
        <v>24.6</v>
      </c>
      <c r="C45" s="0" t="n">
        <v>76.5</v>
      </c>
      <c r="D45" s="0" t="n">
        <v>87</v>
      </c>
      <c r="E45" s="0" t="n">
        <v>95.5</v>
      </c>
      <c r="F45" s="0" t="n">
        <v>95.5</v>
      </c>
      <c r="G45" s="0" t="n">
        <v>36.2</v>
      </c>
      <c r="I45" s="0" t="n">
        <v>28</v>
      </c>
      <c r="J45" s="0" t="n">
        <v>40</v>
      </c>
      <c r="K45" s="0" t="n">
        <v>17</v>
      </c>
      <c r="L45" s="0" t="n">
        <v>17</v>
      </c>
      <c r="M45" s="0" t="n">
        <v>11</v>
      </c>
      <c r="O45" s="0" t="n">
        <v>15</v>
      </c>
      <c r="T45" s="4" t="n">
        <f aca="false">C45/(POWER($B$4/100,2))</f>
        <v>27.1045918367347</v>
      </c>
      <c r="U45" s="5" t="n">
        <f aca="false">((86.01*LOG10(E45-G45))-(70.041*LOG10($B$4))+30.3)/100</f>
        <v>0.269375467748991</v>
      </c>
      <c r="V45" s="5" t="n">
        <f aca="false">((495/(1.10938-0.0008267*(K45+J45+L45)+0.0000016*POWER((K45+J45+L45),2)-0.0002575*B45))-450)/100</f>
        <v>0.211453009252627</v>
      </c>
      <c r="W45" s="5" t="n">
        <f aca="false">((495/(1.099075-0.0008209*(K45+J45+L45)+0.0000026*POWER((K45+J45+L45),2)-0.0002017*B45-0.00005675*E45+0.000018586*I45))-450)/100</f>
        <v>0.247268091789067</v>
      </c>
      <c r="X45" s="5" t="n">
        <f aca="false">(0-98.42+4.15*E45/2.54-0.082*C45/0.4536)/(C45/0.45359)</f>
        <v>0.259608231196917</v>
      </c>
      <c r="Y45" s="4" t="n">
        <f aca="false">C45*W45</f>
        <v>18.9160090218636</v>
      </c>
      <c r="Z45" s="4" t="n">
        <f aca="false">C45-Y45</f>
        <v>57.5839909781364</v>
      </c>
      <c r="AA45" s="4" t="n">
        <f aca="false">Z45/POWER($B$4/100,2)</f>
        <v>20.4024911345438</v>
      </c>
      <c r="AB45" s="4" t="n">
        <f aca="false">AA45+6.1*(1.8-$B$4/100)</f>
        <v>21.1344911345438</v>
      </c>
      <c r="AC45" s="4"/>
      <c r="AD45" s="4"/>
    </row>
    <row r="46" customFormat="false" ht="15" hidden="false" customHeight="false" outlineLevel="0" collapsed="false">
      <c r="A46" s="2" t="n">
        <v>42281</v>
      </c>
      <c r="B46" s="0" t="n">
        <f aca="false">ROUNDDOWN((A46-$B$2)/365,1)</f>
        <v>24.7</v>
      </c>
      <c r="C46" s="0" t="n">
        <v>75</v>
      </c>
      <c r="D46" s="0" t="n">
        <v>85</v>
      </c>
      <c r="E46" s="0" t="n">
        <v>94</v>
      </c>
      <c r="F46" s="0" t="n">
        <v>97</v>
      </c>
      <c r="G46" s="0" t="n">
        <v>35.8</v>
      </c>
      <c r="I46" s="0" t="n">
        <v>27.7</v>
      </c>
      <c r="J46" s="0" t="n">
        <v>38.5</v>
      </c>
      <c r="K46" s="0" t="n">
        <v>13</v>
      </c>
      <c r="L46" s="0" t="n">
        <v>17</v>
      </c>
      <c r="M46" s="0" t="n">
        <v>8.5</v>
      </c>
      <c r="O46" s="0" t="n">
        <v>14</v>
      </c>
      <c r="T46" s="4" t="n">
        <f aca="false">C46/(POWER($B$4/100,2))</f>
        <v>26.5731292517007</v>
      </c>
      <c r="U46" s="5" t="n">
        <f aca="false">((86.01*LOG10(E46-G46))-(70.041*LOG10($B$4))+30.3)/100</f>
        <v>0.262381385083758</v>
      </c>
      <c r="V46" s="5" t="n">
        <f aca="false">((495/(1.10938-0.0008267*(K46+J46+L46)+0.0000016*POWER((K46+J46+L46),2)-0.0002575*B46))-450)/100</f>
        <v>0.19684743804526</v>
      </c>
      <c r="W46" s="5" t="n">
        <f aca="false">((495/(1.099075-0.0008209*(K46+J46+L46)+0.0000026*POWER((K46+J46+L46),2)-0.0002017*B46-0.00005675*E46+0.000018586*I46))-450)/100</f>
        <v>0.235747480511879</v>
      </c>
      <c r="X46" s="5" t="n">
        <f aca="false">(0-98.42+4.15*E46/2.54-0.082*C46/0.4536)/(C46/0.45359)</f>
        <v>0.251618324232582</v>
      </c>
      <c r="Y46" s="4" t="n">
        <f aca="false">C46*W46</f>
        <v>17.6810610383909</v>
      </c>
      <c r="Z46" s="4" t="n">
        <f aca="false">C46-Y46</f>
        <v>57.3189389616091</v>
      </c>
      <c r="AA46" s="4" t="n">
        <f aca="false">Z46/POWER($B$4/100,2)</f>
        <v>20.3085809812957</v>
      </c>
      <c r="AB46" s="4" t="n">
        <f aca="false">AA46+6.1*(1.8-$B$4/100)</f>
        <v>21.0405809812957</v>
      </c>
      <c r="AC46" s="4"/>
      <c r="AD46" s="4"/>
    </row>
    <row r="47" customFormat="false" ht="15" hidden="false" customHeight="false" outlineLevel="0" collapsed="false">
      <c r="A47" s="2" t="n">
        <v>42567</v>
      </c>
      <c r="B47" s="0" t="n">
        <f aca="false">ROUNDDOWN((A47-$B$2)/365,1)</f>
        <v>25.5</v>
      </c>
      <c r="C47" s="0" t="n">
        <v>71.2</v>
      </c>
      <c r="D47" s="0" t="n">
        <v>80.5</v>
      </c>
      <c r="E47" s="0" t="n">
        <v>88</v>
      </c>
      <c r="F47" s="0" t="n">
        <v>95</v>
      </c>
      <c r="G47" s="0" t="n">
        <v>35.8</v>
      </c>
      <c r="I47" s="0" t="n">
        <v>27.8</v>
      </c>
      <c r="J47" s="0" t="n">
        <v>28</v>
      </c>
      <c r="K47" s="0" t="n">
        <v>10</v>
      </c>
      <c r="L47" s="0" t="n">
        <v>13</v>
      </c>
      <c r="M47" s="0" t="n">
        <v>7</v>
      </c>
      <c r="T47" s="4" t="n">
        <f aca="false">C47/(POWER($B$4/100,2))</f>
        <v>25.2267573696145</v>
      </c>
      <c r="U47" s="5" t="n">
        <f aca="false">((86.01*LOG10(E47-G47))-(70.041*LOG10($B$4))+30.3)/100</f>
        <v>0.221739525618634</v>
      </c>
      <c r="V47" s="5" t="n">
        <f aca="false">((495/(1.10938-0.0008267*(K47+J47+L47)+0.0000016*POWER((K47+J47+L47),2)-0.0002575*B47))-450)/100</f>
        <v>0.148700737448286</v>
      </c>
      <c r="W47" s="5" t="n">
        <f aca="false">((495/(1.099075-0.0008209*(K47+J47+L47)+0.0000026*POWER((K47+J47+L47),2)-0.0002017*B47-0.00005675*E47+0.000018586*I47))-450)/100</f>
        <v>0.194831046255841</v>
      </c>
      <c r="X47" s="5" t="n">
        <f aca="false">(0-98.42+4.15*E47/2.54-0.082*C47/0.4536)/(C47/0.45359)</f>
        <v>0.206971303624071</v>
      </c>
      <c r="Y47" s="4" t="n">
        <f aca="false">C47*W47</f>
        <v>13.8719704934159</v>
      </c>
      <c r="Z47" s="4" t="n">
        <f aca="false">C47-Y47</f>
        <v>57.3280295065841</v>
      </c>
      <c r="AA47" s="4" t="n">
        <f aca="false">Z47/POWER($B$4/100,2)</f>
        <v>20.3118018376503</v>
      </c>
      <c r="AB47" s="4" t="n">
        <f aca="false">AA47+6.1*(1.8-$B$4/100)</f>
        <v>21.0438018376503</v>
      </c>
      <c r="AC47" s="4"/>
      <c r="AD47" s="4"/>
    </row>
    <row r="48" customFormat="false" ht="15" hidden="false" customHeight="false" outlineLevel="0" collapsed="false">
      <c r="A48" s="2" t="n">
        <v>42573</v>
      </c>
      <c r="B48" s="0" t="n">
        <f aca="false">ROUNDDOWN((A48-$B$2)/365,1)</f>
        <v>25.5</v>
      </c>
      <c r="C48" s="0" t="n">
        <v>70.8</v>
      </c>
      <c r="D48" s="0" t="n">
        <v>79</v>
      </c>
      <c r="E48" s="0" t="n">
        <v>87.3</v>
      </c>
      <c r="F48" s="0" t="n">
        <v>95</v>
      </c>
      <c r="G48" s="0" t="n">
        <v>35.6</v>
      </c>
      <c r="I48" s="0" t="n">
        <v>27.4</v>
      </c>
      <c r="J48" s="0" t="n">
        <v>28</v>
      </c>
      <c r="K48" s="0" t="n">
        <v>8.5</v>
      </c>
      <c r="L48" s="0" t="n">
        <v>12</v>
      </c>
      <c r="M48" s="0" t="n">
        <v>7</v>
      </c>
      <c r="T48" s="4" t="n">
        <f aca="false">C48/(POWER($B$4/100,2))</f>
        <v>25.0850340136054</v>
      </c>
      <c r="U48" s="5" t="n">
        <f aca="false">((86.01*LOG10(E48-G48))-(70.041*LOG10($B$4))+30.3)/100</f>
        <v>0.218144342101488</v>
      </c>
      <c r="V48" s="5" t="n">
        <f aca="false">((495/(1.10938-0.0008267*(K48+J48+L48)+0.0000016*POWER((K48+J48+L48),2)-0.0002575*B48))-450)/100</f>
        <v>0.14142680648082</v>
      </c>
      <c r="W48" s="5" t="n">
        <f aca="false">((495/(1.099075-0.0008209*(K48+J48+L48)+0.0000026*POWER((K48+J48+L48),2)-0.0002017*B48-0.00005675*E48+0.000018586*I48))-450)/100</f>
        <v>0.188437548099639</v>
      </c>
      <c r="X48" s="5" t="n">
        <f aca="false">(0-98.42+4.15*E48/2.54-0.082*C48/0.4536)/(C48/0.45359)</f>
        <v>0.201276622242547</v>
      </c>
      <c r="Y48" s="4" t="n">
        <f aca="false">C48*W48</f>
        <v>13.3413784054545</v>
      </c>
      <c r="Z48" s="4" t="n">
        <f aca="false">C48-Y48</f>
        <v>57.4586215945456</v>
      </c>
      <c r="AA48" s="4" t="n">
        <f aca="false">Z48/POWER($B$4/100,2)</f>
        <v>20.3580717100856</v>
      </c>
      <c r="AB48" s="4" t="n">
        <f aca="false">AA48+6.1*(1.8-$B$4/100)</f>
        <v>21.0900717100856</v>
      </c>
      <c r="AC48" s="4"/>
      <c r="AD48" s="4"/>
    </row>
    <row r="49" customFormat="false" ht="15" hidden="false" customHeight="false" outlineLevel="0" collapsed="false">
      <c r="A49" s="2" t="n">
        <v>42612</v>
      </c>
      <c r="B49" s="0" t="n">
        <f aca="false">ROUNDDOWN((A49-$B$2)/365,1)</f>
        <v>25.7</v>
      </c>
      <c r="C49" s="0" t="n">
        <v>73.5</v>
      </c>
      <c r="D49" s="0" t="n">
        <v>82.5</v>
      </c>
      <c r="E49" s="0" t="n">
        <v>89.5</v>
      </c>
      <c r="F49" s="0" t="n">
        <v>95</v>
      </c>
      <c r="G49" s="0" t="n">
        <v>36</v>
      </c>
      <c r="I49" s="0" t="n">
        <v>28.1</v>
      </c>
      <c r="J49" s="0" t="n">
        <v>29</v>
      </c>
      <c r="K49" s="0" t="n">
        <v>9</v>
      </c>
      <c r="L49" s="0" t="n">
        <v>13.5</v>
      </c>
      <c r="M49" s="0" t="n">
        <v>8</v>
      </c>
      <c r="T49" s="4" t="n">
        <f aca="false">C49/(POWER($B$4/100,2))</f>
        <v>26.0416666666667</v>
      </c>
      <c r="U49" s="5" t="n">
        <f aca="false">((86.01*LOG10(E49-G49))-(70.041*LOG10($B$4))+30.3)/100</f>
        <v>0.230928213902847</v>
      </c>
      <c r="V49" s="5" t="n">
        <f aca="false">((495/(1.10938-0.0008267*(K49+J49+L49)+0.0000016*POWER((K49+J49+L49),2)-0.0002575*B49))-450)/100</f>
        <v>0.15037276260702</v>
      </c>
      <c r="W49" s="5" t="n">
        <f aca="false">((495/(1.099075-0.0008209*(K49+J49+L49)+0.0000026*POWER((K49+J49+L49),2)-0.0002017*B49-0.00005675*E49+0.000018586*I49))-450)/100</f>
        <v>0.196599877523529</v>
      </c>
      <c r="X49" s="5" t="n">
        <f aca="false">(0-98.42+4.15*E49/2.54-0.082*C49/0.4536)/(C49/0.45359)</f>
        <v>0.213053246712415</v>
      </c>
      <c r="Y49" s="4" t="n">
        <f aca="false">C49*W49</f>
        <v>14.4500909979794</v>
      </c>
      <c r="Z49" s="4" t="n">
        <f aca="false">C49-Y49</f>
        <v>59.0499090020206</v>
      </c>
      <c r="AA49" s="4" t="n">
        <f aca="false">Z49/POWER($B$4/100,2)</f>
        <v>20.9218781894914</v>
      </c>
      <c r="AB49" s="4" t="n">
        <f aca="false">AA49+6.1*(1.8-$B$4/100)</f>
        <v>21.6538781894914</v>
      </c>
      <c r="AC49" s="4"/>
      <c r="AD49" s="4"/>
    </row>
    <row r="50" customFormat="false" ht="15" hidden="false" customHeight="false" outlineLevel="0" collapsed="false">
      <c r="A50" s="2" t="n">
        <v>42638</v>
      </c>
      <c r="B50" s="0" t="n">
        <f aca="false">ROUNDDOWN((A50-$B$2)/365,1)</f>
        <v>25.7</v>
      </c>
      <c r="C50" s="0" t="n">
        <v>71.1</v>
      </c>
      <c r="D50" s="0" t="n">
        <v>81</v>
      </c>
      <c r="E50" s="0" t="n">
        <v>88</v>
      </c>
      <c r="F50" s="0" t="n">
        <v>95</v>
      </c>
      <c r="G50" s="0" t="n">
        <v>35.5</v>
      </c>
      <c r="I50" s="0" t="n">
        <v>27.5</v>
      </c>
      <c r="J50" s="0" t="n">
        <v>28</v>
      </c>
      <c r="K50" s="0" t="n">
        <v>11</v>
      </c>
      <c r="L50" s="0" t="n">
        <v>13</v>
      </c>
      <c r="M50" s="0" t="n">
        <v>8</v>
      </c>
      <c r="T50" s="4" t="n">
        <f aca="false">C50/(POWER($B$4/100,2))</f>
        <v>25.1913265306122</v>
      </c>
      <c r="U50" s="5" t="n">
        <f aca="false">((86.01*LOG10(E50-G50))-(70.041*LOG10($B$4))+30.3)/100</f>
        <v>0.223880142845852</v>
      </c>
      <c r="V50" s="5" t="n">
        <f aca="false">((495/(1.10938-0.0008267*(K50+J50+L50)+0.0000016*POWER((K50+J50+L50),2)-0.0002575*B50))-450)/100</f>
        <v>0.151817345217239</v>
      </c>
      <c r="W50" s="5" t="n">
        <f aca="false">((495/(1.099075-0.0008209*(K50+J50+L50)+0.0000026*POWER((K50+J50+L50),2)-0.0002017*B50-0.00005675*E50+0.000018586*I50))-450)/100</f>
        <v>0.197499869573204</v>
      </c>
      <c r="X50" s="5" t="n">
        <f aca="false">(0-98.42+4.15*E50/2.54-0.082*C50/0.4536)/(C50/0.45359)</f>
        <v>0.207377730481826</v>
      </c>
      <c r="Y50" s="4" t="n">
        <f aca="false">C50*W50</f>
        <v>14.0422407266548</v>
      </c>
      <c r="Z50" s="4" t="n">
        <f aca="false">C50-Y50</f>
        <v>57.0577592733452</v>
      </c>
      <c r="AA50" s="4" t="n">
        <f aca="false">Z50/POWER($B$4/100,2)</f>
        <v>20.2160428264403</v>
      </c>
      <c r="AB50" s="4" t="n">
        <f aca="false">AA50+6.1*(1.8-$B$4/100)</f>
        <v>20.9480428264403</v>
      </c>
      <c r="AC50" s="4"/>
      <c r="AD50" s="4"/>
    </row>
    <row r="51" customFormat="false" ht="15" hidden="false" customHeight="false" outlineLevel="0" collapsed="false">
      <c r="A51" s="2" t="n">
        <v>42649</v>
      </c>
      <c r="B51" s="0" t="n">
        <f aca="false">ROUNDDOWN((A51-$B$2)/365,1)</f>
        <v>25.8</v>
      </c>
      <c r="C51" s="0" t="n">
        <v>73.7</v>
      </c>
      <c r="D51" s="0" t="n">
        <v>83.5</v>
      </c>
      <c r="E51" s="0" t="n">
        <v>90.5</v>
      </c>
      <c r="F51" s="0" t="n">
        <v>95</v>
      </c>
      <c r="G51" s="0" t="n">
        <v>35.6</v>
      </c>
      <c r="I51" s="0" t="n">
        <v>27.7</v>
      </c>
      <c r="J51" s="0" t="n">
        <v>28</v>
      </c>
      <c r="K51" s="0" t="n">
        <v>11.5</v>
      </c>
      <c r="L51" s="0" t="n">
        <v>13</v>
      </c>
      <c r="M51" s="0" t="n">
        <v>8</v>
      </c>
      <c r="T51" s="4" t="n">
        <f aca="false">C51/(POWER($B$4/100,2))</f>
        <v>26.1125283446712</v>
      </c>
      <c r="U51" s="5" t="n">
        <f aca="false">((86.01*LOG10(E51-G51))-(70.041*LOG10($B$4))+30.3)/100</f>
        <v>0.240577299447913</v>
      </c>
      <c r="V51" s="5" t="n">
        <f aca="false">((495/(1.10938-0.0008267*(K51+J51+L51)+0.0000016*POWER((K51+J51+L51),2)-0.0002575*B51))-450)/100</f>
        <v>0.153371967288205</v>
      </c>
      <c r="W51" s="5" t="n">
        <f aca="false">((495/(1.099075-0.0008209*(K51+J51+L51)+0.0000026*POWER((K51+J51+L51),2)-0.0002017*B51-0.00005675*E51+0.000018586*I51))-450)/100</f>
        <v>0.199430602899354</v>
      </c>
      <c r="X51" s="5" t="n">
        <f aca="false">(0-98.42+4.15*E51/2.54-0.082*C51/0.4536)/(C51/0.45359)</f>
        <v>0.222308219356419</v>
      </c>
      <c r="Y51" s="4" t="n">
        <f aca="false">C51*W51</f>
        <v>14.6980354336824</v>
      </c>
      <c r="Z51" s="4" t="n">
        <f aca="false">C51-Y51</f>
        <v>59.0019645663176</v>
      </c>
      <c r="AA51" s="4" t="n">
        <f aca="false">Z51/POWER($B$4/100,2)</f>
        <v>20.904891073667</v>
      </c>
      <c r="AB51" s="4" t="n">
        <f aca="false">AA51+6.1*(1.8-$B$4/100)</f>
        <v>21.636891073667</v>
      </c>
      <c r="AC51" s="4"/>
      <c r="AD51" s="4"/>
    </row>
    <row r="52" customFormat="false" ht="15" hidden="false" customHeight="false" outlineLevel="0" collapsed="false">
      <c r="A52" s="2" t="n">
        <v>42655</v>
      </c>
      <c r="B52" s="0" t="n">
        <f aca="false">ROUNDDOWN((A52-$B$2)/365,1)</f>
        <v>25.8</v>
      </c>
      <c r="C52" s="0" t="n">
        <v>72.2</v>
      </c>
      <c r="D52" s="0" t="n">
        <v>83</v>
      </c>
      <c r="E52" s="0" t="n">
        <v>89</v>
      </c>
      <c r="F52" s="0" t="n">
        <v>95</v>
      </c>
      <c r="G52" s="0" t="n">
        <v>35.6</v>
      </c>
      <c r="I52" s="0" t="n">
        <v>27.5</v>
      </c>
      <c r="J52" s="0" t="n">
        <v>27</v>
      </c>
      <c r="K52" s="0" t="n">
        <v>11.5</v>
      </c>
      <c r="L52" s="0" t="n">
        <v>13</v>
      </c>
      <c r="M52" s="0" t="n">
        <v>8.5</v>
      </c>
      <c r="T52" s="4" t="n">
        <f aca="false">C52/(POWER($B$4/100,2))</f>
        <v>25.5810657596372</v>
      </c>
      <c r="U52" s="5" t="n">
        <f aca="false">((86.01*LOG10(E52-G52))-(70.041*LOG10($B$4))+30.3)/100</f>
        <v>0.23022936115665</v>
      </c>
      <c r="V52" s="5" t="n">
        <f aca="false">((495/(1.10938-0.0008267*(K52+J52+L52)+0.0000016*POWER((K52+J52+L52),2)-0.0002575*B52))-450)/100</f>
        <v>0.150485264044924</v>
      </c>
      <c r="W52" s="5" t="n">
        <f aca="false">((495/(1.099075-0.0008209*(K52+J52+L52)+0.0000026*POWER((K52+J52+L52),2)-0.0002017*B52-0.00005675*E52+0.000018586*I52))-450)/100</f>
        <v>0.196613008116066</v>
      </c>
      <c r="X52" s="5" t="n">
        <f aca="false">(0-98.42+4.15*E52/2.54-0.082*C52/0.4536)/(C52/0.45359)</f>
        <v>0.213233523510354</v>
      </c>
      <c r="Y52" s="4" t="n">
        <f aca="false">C52*W52</f>
        <v>14.1954591859799</v>
      </c>
      <c r="Z52" s="4" t="n">
        <f aca="false">C52-Y52</f>
        <v>58.0045408140201</v>
      </c>
      <c r="AA52" s="4" t="n">
        <f aca="false">Z52/POWER($B$4/100,2)</f>
        <v>20.55149546982</v>
      </c>
      <c r="AB52" s="4" t="n">
        <f aca="false">AA52+6.1*(1.8-$B$4/100)</f>
        <v>21.28349546982</v>
      </c>
      <c r="AC52" s="4"/>
      <c r="AD52" s="4"/>
    </row>
    <row r="53" customFormat="false" ht="15" hidden="false" customHeight="false" outlineLevel="0" collapsed="false">
      <c r="A53" s="2" t="n">
        <v>42659</v>
      </c>
      <c r="B53" s="0" t="n">
        <f aca="false">ROUNDDOWN((A53-$B$2)/365,1)</f>
        <v>25.8</v>
      </c>
      <c r="C53" s="0" t="n">
        <v>71.7</v>
      </c>
      <c r="D53" s="0" t="n">
        <v>80</v>
      </c>
      <c r="E53" s="0" t="n">
        <v>86.5</v>
      </c>
      <c r="F53" s="0" t="n">
        <v>95</v>
      </c>
      <c r="G53" s="0" t="n">
        <v>35.7</v>
      </c>
      <c r="I53" s="0" t="n">
        <v>27.8</v>
      </c>
      <c r="J53" s="0" t="n">
        <v>28</v>
      </c>
      <c r="K53" s="0" t="n">
        <v>10</v>
      </c>
      <c r="L53" s="0" t="n">
        <v>13</v>
      </c>
      <c r="M53" s="0" t="n">
        <v>7.5</v>
      </c>
      <c r="T53" s="4" t="n">
        <f aca="false">C53/(POWER($B$4/100,2))</f>
        <v>25.4039115646259</v>
      </c>
      <c r="U53" s="5" t="n">
        <f aca="false">((86.01*LOG10(E53-G53))-(70.041*LOG10($B$4))+30.3)/100</f>
        <v>0.211584504921788</v>
      </c>
      <c r="V53" s="5" t="n">
        <f aca="false">((495/(1.10938-0.0008267*(K53+J53+L53)+0.0000016*POWER((K53+J53+L53),2)-0.0002575*B53))-450)/100</f>
        <v>0.149038015418652</v>
      </c>
      <c r="W53" s="5" t="n">
        <f aca="false">((495/(1.099075-0.0008209*(K53+J53+L53)+0.0000026*POWER((K53+J53+L53),2)-0.0002017*B53-0.00005675*E53+0.000018586*I53))-450)/100</f>
        <v>0.194721442752034</v>
      </c>
      <c r="X53" s="5" t="n">
        <f aca="false">(0-98.42+4.15*E53/2.54-0.082*C53/0.4536)/(C53/0.45359)</f>
        <v>0.189451953478851</v>
      </c>
      <c r="Y53" s="4" t="n">
        <f aca="false">C53*W53</f>
        <v>13.9615274453209</v>
      </c>
      <c r="Z53" s="4" t="n">
        <f aca="false">C53-Y53</f>
        <v>57.7384725546791</v>
      </c>
      <c r="AA53" s="4" t="n">
        <f aca="false">Z53/POWER($B$4/100,2)</f>
        <v>20.4572252532168</v>
      </c>
      <c r="AB53" s="4" t="n">
        <f aca="false">AA53+6.1*(1.8-$B$4/100)</f>
        <v>21.1892252532168</v>
      </c>
      <c r="AC53" s="4"/>
      <c r="AD53" s="4"/>
    </row>
    <row r="54" customFormat="false" ht="15" hidden="false" customHeight="false" outlineLevel="0" collapsed="false">
      <c r="A54" s="2" t="n">
        <v>42663</v>
      </c>
      <c r="B54" s="0" t="n">
        <f aca="false">ROUNDDOWN((A54-$B$2)/365,1)</f>
        <v>25.8</v>
      </c>
      <c r="C54" s="0" t="n">
        <v>70.5</v>
      </c>
      <c r="D54" s="0" t="n">
        <v>80</v>
      </c>
      <c r="E54" s="0" t="n">
        <v>86</v>
      </c>
      <c r="F54" s="0" t="n">
        <v>95</v>
      </c>
      <c r="G54" s="0" t="n">
        <v>35.6</v>
      </c>
      <c r="I54" s="0" t="n">
        <v>27.8</v>
      </c>
      <c r="J54" s="0" t="n">
        <v>28</v>
      </c>
      <c r="K54" s="0" t="n">
        <v>11</v>
      </c>
      <c r="L54" s="0" t="n">
        <v>12</v>
      </c>
      <c r="M54" s="0" t="n">
        <v>7.5</v>
      </c>
      <c r="T54" s="4" t="n">
        <f aca="false">C54/(POWER($B$4/100,2))</f>
        <v>24.9787414965986</v>
      </c>
      <c r="U54" s="5" t="n">
        <f aca="false">((86.01*LOG10(E54-G54))-(70.041*LOG10($B$4))+30.3)/100</f>
        <v>0.208631630383185</v>
      </c>
      <c r="V54" s="5" t="n">
        <f aca="false">((495/(1.10938-0.0008267*(K54+J54+L54)+0.0000016*POWER((K54+J54+L54),2)-0.0002575*B54))-450)/100</f>
        <v>0.149038015418652</v>
      </c>
      <c r="W54" s="5" t="n">
        <f aca="false">((495/(1.099075-0.0008209*(K54+J54+L54)+0.0000026*POWER((K54+J54+L54),2)-0.0002017*B54-0.00005675*E54+0.000018586*I54))-450)/100</f>
        <v>0.19459510340104</v>
      </c>
      <c r="X54" s="5" t="n">
        <f aca="false">(0-98.42+4.15*E54/2.54-0.082*C54/0.4536)/(C54/0.45359)</f>
        <v>0.188816340557371</v>
      </c>
      <c r="Y54" s="4" t="n">
        <f aca="false">C54*W54</f>
        <v>13.7189547897733</v>
      </c>
      <c r="Z54" s="4" t="n">
        <f aca="false">C54-Y54</f>
        <v>56.7810452102267</v>
      </c>
      <c r="AA54" s="4" t="n">
        <f aca="false">Z54/POWER($B$4/100,2)</f>
        <v>20.1180007122402</v>
      </c>
      <c r="AB54" s="4" t="n">
        <f aca="false">AA54+6.1*(1.8-$B$4/100)</f>
        <v>20.8500007122402</v>
      </c>
      <c r="AC54" s="4"/>
      <c r="AD54" s="4"/>
    </row>
    <row r="55" customFormat="false" ht="15" hidden="false" customHeight="false" outlineLevel="0" collapsed="false">
      <c r="A55" s="2" t="n">
        <v>42665</v>
      </c>
      <c r="B55" s="0" t="n">
        <f aca="false">ROUNDDOWN((A55-$B$2)/365,1)</f>
        <v>25.8</v>
      </c>
      <c r="C55" s="0" t="n">
        <v>70.1</v>
      </c>
      <c r="D55" s="0" t="n">
        <v>79</v>
      </c>
      <c r="E55" s="0" t="n">
        <v>86</v>
      </c>
      <c r="F55" s="0" t="n">
        <v>95</v>
      </c>
      <c r="G55" s="0" t="n">
        <v>35.5</v>
      </c>
      <c r="I55" s="0" t="n">
        <v>27.7</v>
      </c>
      <c r="J55" s="0" t="n">
        <v>27</v>
      </c>
      <c r="K55" s="0" t="n">
        <v>10</v>
      </c>
      <c r="L55" s="0" t="n">
        <v>12</v>
      </c>
      <c r="M55" s="0" t="n">
        <v>7.5</v>
      </c>
      <c r="T55" s="4" t="n">
        <f aca="false">C55/(POWER($B$4/100,2))</f>
        <v>24.8370181405896</v>
      </c>
      <c r="U55" s="5" t="n">
        <f aca="false">((86.01*LOG10(E55-G55))-(70.041*LOG10($B$4))+30.3)/100</f>
        <v>0.209372040306249</v>
      </c>
      <c r="V55" s="5" t="n">
        <f aca="false">((495/(1.10938-0.0008267*(K55+J55+L55)+0.0000016*POWER((K55+J55+L55),2)-0.0002575*B55))-450)/100</f>
        <v>0.143223173567059</v>
      </c>
      <c r="W55" s="5" t="n">
        <f aca="false">((495/(1.099075-0.0008209*(K55+J55+L55)+0.0000026*POWER((K55+J55+L55),2)-0.0002017*B55-0.00005675*E55+0.000018586*I55))-450)/100</f>
        <v>0.189614002496646</v>
      </c>
      <c r="X55" s="5" t="n">
        <f aca="false">(0-98.42+4.15*E55/2.54-0.082*C55/0.4536)/(C55/0.45359)</f>
        <v>0.190361644596157</v>
      </c>
      <c r="Y55" s="4" t="n">
        <f aca="false">C55*W55</f>
        <v>13.2919415750149</v>
      </c>
      <c r="Z55" s="4" t="n">
        <f aca="false">C55-Y55</f>
        <v>56.8080584249851</v>
      </c>
      <c r="AA55" s="4" t="n">
        <f aca="false">Z55/POWER($B$4/100,2)</f>
        <v>20.1275717208706</v>
      </c>
      <c r="AB55" s="4" t="n">
        <f aca="false">AA55+6.1*(1.8-$B$4/100)</f>
        <v>20.8595717208706</v>
      </c>
      <c r="AC55" s="4"/>
      <c r="AD55" s="4"/>
    </row>
    <row r="56" customFormat="false" ht="15" hidden="false" customHeight="false" outlineLevel="0" collapsed="false">
      <c r="A56" s="2" t="n">
        <v>42667</v>
      </c>
      <c r="B56" s="0" t="n">
        <f aca="false">ROUNDDOWN((A56-$B$2)/365,1)</f>
        <v>25.8</v>
      </c>
      <c r="C56" s="0" t="n">
        <v>71</v>
      </c>
      <c r="D56" s="0" t="n">
        <v>80</v>
      </c>
      <c r="E56" s="0" t="n">
        <v>87</v>
      </c>
      <c r="F56" s="0" t="n">
        <v>95</v>
      </c>
      <c r="G56" s="0" t="n">
        <v>35.7</v>
      </c>
      <c r="I56" s="0" t="n">
        <v>27.7</v>
      </c>
      <c r="J56" s="0" t="n">
        <v>26</v>
      </c>
      <c r="K56" s="0" t="n">
        <v>9.5</v>
      </c>
      <c r="L56" s="0" t="n">
        <v>12</v>
      </c>
      <c r="M56" s="0" t="n">
        <v>7</v>
      </c>
      <c r="T56" s="4" t="n">
        <f aca="false">C56/(POWER($B$4/100,2))</f>
        <v>25.15589569161</v>
      </c>
      <c r="U56" s="5" t="n">
        <f aca="false">((86.01*LOG10(E56-G56))-(70.041*LOG10($B$4))+30.3)/100</f>
        <v>0.215243071719062</v>
      </c>
      <c r="V56" s="5" t="n">
        <f aca="false">((495/(1.10938-0.0008267*(K56+J56+L56)+0.0000016*POWER((K56+J56+L56),2)-0.0002575*B56))-450)/100</f>
        <v>0.138835062002248</v>
      </c>
      <c r="W56" s="5" t="n">
        <f aca="false">((495/(1.099075-0.0008209*(K56+J56+L56)+0.0000026*POWER((K56+J56+L56),2)-0.0002017*B56-0.00005675*E56+0.000018586*I56))-450)/100</f>
        <v>0.186070117592193</v>
      </c>
      <c r="X56" s="5" t="n">
        <f aca="false">(0-98.42+4.15*E56/2.54-0.082*C56/0.4536)/(C56/0.45359)</f>
        <v>0.197347249082088</v>
      </c>
      <c r="Y56" s="4" t="n">
        <f aca="false">C56*W56</f>
        <v>13.2109783490457</v>
      </c>
      <c r="Z56" s="4" t="n">
        <f aca="false">C56-Y56</f>
        <v>57.7890216509543</v>
      </c>
      <c r="AA56" s="4" t="n">
        <f aca="false">Z56/POWER($B$4/100,2)</f>
        <v>20.4751352221352</v>
      </c>
      <c r="AB56" s="4" t="n">
        <f aca="false">AA56+6.1*(1.8-$B$4/100)</f>
        <v>21.2071352221352</v>
      </c>
      <c r="AC56" s="4"/>
      <c r="AD56" s="4"/>
    </row>
    <row r="57" customFormat="false" ht="15" hidden="false" customHeight="false" outlineLevel="0" collapsed="false">
      <c r="A57" s="2" t="n">
        <v>42670</v>
      </c>
      <c r="B57" s="0" t="n">
        <f aca="false">ROUNDDOWN((A57-$B$2)/365,1)</f>
        <v>25.8</v>
      </c>
      <c r="C57" s="0" t="n">
        <v>71.6</v>
      </c>
      <c r="D57" s="0" t="n">
        <v>80</v>
      </c>
      <c r="E57" s="0" t="n">
        <v>85</v>
      </c>
      <c r="F57" s="0" t="n">
        <v>95</v>
      </c>
      <c r="G57" s="0" t="n">
        <v>35.6</v>
      </c>
      <c r="I57" s="0" t="n">
        <v>27.9</v>
      </c>
      <c r="J57" s="0" t="n">
        <v>26</v>
      </c>
      <c r="K57" s="0" t="n">
        <v>9.5</v>
      </c>
      <c r="L57" s="0" t="n">
        <v>12</v>
      </c>
      <c r="M57" s="0" t="n">
        <v>7</v>
      </c>
      <c r="T57" s="4" t="n">
        <f aca="false">C57/(POWER($B$4/100,2))</f>
        <v>25.3684807256236</v>
      </c>
      <c r="U57" s="5" t="n">
        <f aca="false">((86.01*LOG10(E57-G57))-(70.041*LOG10($B$4))+30.3)/100</f>
        <v>0.201145674755617</v>
      </c>
      <c r="V57" s="5" t="n">
        <f aca="false">((495/(1.10938-0.0008267*(K57+J57+L57)+0.0000016*POWER((K57+J57+L57),2)-0.0002575*B57))-450)/100</f>
        <v>0.138835062002248</v>
      </c>
      <c r="W57" s="5" t="n">
        <f aca="false">((495/(1.099075-0.0008209*(K57+J57+L57)+0.0000026*POWER((K57+J57+L57),2)-0.0002017*B57-0.00005675*E57+0.000018586*I57))-450)/100</f>
        <v>0.185550174850846</v>
      </c>
      <c r="X57" s="5" t="n">
        <f aca="false">(0-98.42+4.15*E57/2.54-0.082*C57/0.4536)/(C57/0.45359)</f>
        <v>0.174305198689627</v>
      </c>
      <c r="Y57" s="4" t="n">
        <f aca="false">C57*W57</f>
        <v>13.2853925193206</v>
      </c>
      <c r="Z57" s="4" t="n">
        <f aca="false">C57-Y57</f>
        <v>58.3146074806794</v>
      </c>
      <c r="AA57" s="4" t="n">
        <f aca="false">Z57/POWER($B$4/100,2)</f>
        <v>20.6613546912838</v>
      </c>
      <c r="AB57" s="4" t="n">
        <f aca="false">AA57+6.1*(1.8-$B$4/100)</f>
        <v>21.3933546912838</v>
      </c>
      <c r="AC57" s="4"/>
      <c r="AD57" s="4"/>
    </row>
    <row r="58" customFormat="false" ht="15" hidden="false" customHeight="false" outlineLevel="0" collapsed="false">
      <c r="A58" s="2" t="n">
        <v>42674</v>
      </c>
      <c r="B58" s="0" t="n">
        <f aca="false">ROUNDDOWN((A58-$B$2)/365,1)</f>
        <v>25.8</v>
      </c>
      <c r="C58" s="0" t="n">
        <v>70.3</v>
      </c>
      <c r="D58" s="0" t="n">
        <v>79.5</v>
      </c>
      <c r="E58" s="0" t="n">
        <v>85</v>
      </c>
      <c r="F58" s="0" t="n">
        <v>95</v>
      </c>
      <c r="G58" s="0" t="n">
        <v>35.7</v>
      </c>
      <c r="I58" s="0" t="n">
        <v>27.8</v>
      </c>
      <c r="J58" s="0" t="n">
        <v>25</v>
      </c>
      <c r="K58" s="0" t="n">
        <v>9.5</v>
      </c>
      <c r="L58" s="0" t="n">
        <v>12</v>
      </c>
      <c r="M58" s="0" t="n">
        <v>7</v>
      </c>
      <c r="T58" s="4" t="n">
        <f aca="false">C58/(POWER($B$4/100,2))</f>
        <v>24.9078798185941</v>
      </c>
      <c r="U58" s="5" t="n">
        <f aca="false">((86.01*LOG10(E58-G58))-(70.041*LOG10($B$4))+30.3)/100</f>
        <v>0.200388761256734</v>
      </c>
      <c r="V58" s="5" t="n">
        <f aca="false">((495/(1.10938-0.0008267*(K58+J58+L58)+0.0000016*POWER((K58+J58+L58),2)-0.0002575*B58))-450)/100</f>
        <v>0.135896892221157</v>
      </c>
      <c r="W58" s="5" t="n">
        <f aca="false">((495/(1.099075-0.0008209*(K58+J58+L58)+0.0000026*POWER((K58+J58+L58),2)-0.0002017*B58-0.00005675*E58+0.000018586*I58))-450)/100</f>
        <v>0.183002894581684</v>
      </c>
      <c r="X58" s="5" t="n">
        <f aca="false">(0-98.42+4.15*E58/2.54-0.082*C58/0.4536)/(C58/0.45359)</f>
        <v>0.179044806203259</v>
      </c>
      <c r="Y58" s="4" t="n">
        <f aca="false">C58*W58</f>
        <v>12.8651034890924</v>
      </c>
      <c r="Z58" s="4" t="n">
        <f aca="false">C58-Y58</f>
        <v>57.4348965109076</v>
      </c>
      <c r="AA58" s="4" t="n">
        <f aca="false">Z58/POWER($B$4/100,2)</f>
        <v>20.3496657138987</v>
      </c>
      <c r="AB58" s="4" t="n">
        <f aca="false">AA58+6.1*(1.8-$B$4/100)</f>
        <v>21.0816657138987</v>
      </c>
      <c r="AC58" s="4"/>
      <c r="AD58" s="4"/>
    </row>
    <row r="59" customFormat="false" ht="15" hidden="false" customHeight="false" outlineLevel="0" collapsed="false">
      <c r="A59" s="2" t="n">
        <v>42749</v>
      </c>
      <c r="B59" s="0" t="n">
        <f aca="false">ROUNDDOWN((A59-$B$2)/365,1)</f>
        <v>26</v>
      </c>
      <c r="C59" s="0" t="n">
        <v>72.5</v>
      </c>
      <c r="D59" s="0" t="n">
        <v>83.5</v>
      </c>
      <c r="E59" s="0" t="n">
        <v>89.5</v>
      </c>
      <c r="F59" s="0" t="n">
        <v>95</v>
      </c>
      <c r="G59" s="0" t="n">
        <v>36.4</v>
      </c>
      <c r="I59" s="0" t="n">
        <v>28</v>
      </c>
      <c r="J59" s="0" t="n">
        <v>33</v>
      </c>
      <c r="K59" s="0" t="n">
        <v>10.5</v>
      </c>
      <c r="L59" s="0" t="n">
        <v>13</v>
      </c>
      <c r="M59" s="0" t="n">
        <v>9</v>
      </c>
      <c r="T59" s="4" t="n">
        <f aca="false">C59/(POWER($B$4/100,2))</f>
        <v>25.687358276644</v>
      </c>
      <c r="U59" s="5" t="n">
        <f aca="false">((86.01*LOG10(E59-G59))-(70.041*LOG10($B$4))+30.3)/100</f>
        <v>0.22812492356856</v>
      </c>
      <c r="V59" s="5" t="n">
        <f aca="false">((495/(1.10938-0.0008267*(K59+J59+L59)+0.0000016*POWER((K59+J59+L59),2)-0.0002575*B59))-450)/100</f>
        <v>0.165040436711869</v>
      </c>
      <c r="W59" s="5" t="n">
        <f aca="false">((495/(1.099075-0.0008209*(K59+J59+L59)+0.0000026*POWER((K59+J59+L59),2)-0.0002017*B59-0.00005675*E59+0.000018586*I59))-450)/100</f>
        <v>0.208944054084978</v>
      </c>
      <c r="X59" s="5" t="n">
        <f aca="false">(0-98.42+4.15*E59/2.54-0.082*C59/0.4536)/(C59/0.45359)</f>
        <v>0.217122921732446</v>
      </c>
      <c r="Y59" s="4" t="n">
        <f aca="false">C59*W59</f>
        <v>15.1484439211609</v>
      </c>
      <c r="Z59" s="4" t="n">
        <f aca="false">C59-Y59</f>
        <v>57.3515560788391</v>
      </c>
      <c r="AA59" s="4" t="n">
        <f aca="false">Z59/POWER($B$4/100,2)</f>
        <v>20.3201374995887</v>
      </c>
      <c r="AB59" s="4" t="n">
        <f aca="false">AA59+6.1*(1.8-$B$4/100)</f>
        <v>21.0521374995887</v>
      </c>
      <c r="AC59" s="4"/>
      <c r="AD59" s="4"/>
    </row>
    <row r="60" customFormat="false" ht="15" hidden="false" customHeight="false" outlineLevel="0" collapsed="false">
      <c r="A60" s="2" t="n">
        <v>42756</v>
      </c>
      <c r="B60" s="0" t="n">
        <f aca="false">ROUNDDOWN((A60-$B$2)/365,1)</f>
        <v>26</v>
      </c>
      <c r="C60" s="0" t="n">
        <v>75.4</v>
      </c>
      <c r="D60" s="0" t="n">
        <v>84</v>
      </c>
      <c r="E60" s="0" t="n">
        <v>90</v>
      </c>
      <c r="F60" s="0" t="n">
        <v>95</v>
      </c>
      <c r="G60" s="0" t="n">
        <v>36.5</v>
      </c>
      <c r="I60" s="0" t="n">
        <v>28.5</v>
      </c>
      <c r="J60" s="0" t="n">
        <v>34</v>
      </c>
      <c r="K60" s="0" t="n">
        <v>10</v>
      </c>
      <c r="L60" s="0" t="n">
        <v>14</v>
      </c>
      <c r="M60" s="0" t="n">
        <v>10</v>
      </c>
      <c r="T60" s="4" t="n">
        <f aca="false">C60/(POWER($B$4/100,2))</f>
        <v>26.7148526077098</v>
      </c>
      <c r="U60" s="5" t="n">
        <f aca="false">((86.01*LOG10(E60-G60))-(70.041*LOG10($B$4))+30.3)/100</f>
        <v>0.230928213902847</v>
      </c>
      <c r="V60" s="5" t="n">
        <f aca="false">((495/(1.10938-0.0008267*(K60+J60+L60)+0.0000016*POWER((K60+J60+L60),2)-0.0002575*B60))-450)/100</f>
        <v>0.169288008098715</v>
      </c>
      <c r="W60" s="5" t="n">
        <f aca="false">((495/(1.099075-0.0008209*(K60+J60+L60)+0.0000026*POWER((K60+J60+L60),2)-0.0002017*B60-0.00005675*E60+0.000018586*I60))-450)/100</f>
        <v>0.212547901657077</v>
      </c>
      <c r="X60" s="5" t="n">
        <f aca="false">(0-98.42+4.15*E60/2.54-0.082*C60/0.4536)/(C60/0.45359)</f>
        <v>0.21053273148453</v>
      </c>
      <c r="Y60" s="4" t="n">
        <f aca="false">C60*W60</f>
        <v>16.0261117849436</v>
      </c>
      <c r="Z60" s="4" t="n">
        <f aca="false">C60-Y60</f>
        <v>59.3738882150564</v>
      </c>
      <c r="AA60" s="4" t="n">
        <f aca="false">Z60/POWER($B$4/100,2)</f>
        <v>21.036666742863</v>
      </c>
      <c r="AB60" s="4" t="n">
        <f aca="false">AA60+6.1*(1.8-$B$4/100)</f>
        <v>21.768666742863</v>
      </c>
      <c r="AC60" s="4"/>
      <c r="AD60" s="4"/>
    </row>
    <row r="61" customFormat="false" ht="15" hidden="false" customHeight="false" outlineLevel="0" collapsed="false">
      <c r="A61" s="2" t="n">
        <v>42760</v>
      </c>
      <c r="B61" s="0" t="n">
        <f aca="false">ROUNDDOWN((A61-$B$2)/365,1)</f>
        <v>26.1</v>
      </c>
      <c r="C61" s="0" t="n">
        <v>74.1</v>
      </c>
      <c r="D61" s="0" t="n">
        <v>84</v>
      </c>
      <c r="E61" s="0" t="n">
        <v>89.5</v>
      </c>
      <c r="F61" s="0" t="n">
        <v>95</v>
      </c>
      <c r="G61" s="0" t="n">
        <v>36.5</v>
      </c>
      <c r="I61" s="0" t="n">
        <v>28.5</v>
      </c>
      <c r="J61" s="0" t="n">
        <v>34</v>
      </c>
      <c r="K61" s="0" t="n">
        <v>11</v>
      </c>
      <c r="L61" s="0" t="n">
        <v>13.5</v>
      </c>
      <c r="M61" s="0" t="n">
        <v>8</v>
      </c>
      <c r="T61" s="4" t="n">
        <f aca="false">C61/(POWER($B$4/100,2))</f>
        <v>26.2542517006803</v>
      </c>
      <c r="U61" s="5" t="n">
        <f aca="false">((86.01*LOG10(E61-G61))-(70.041*LOG10($B$4))+30.3)/100</f>
        <v>0.227420801430027</v>
      </c>
      <c r="V61" s="5" t="n">
        <f aca="false">((495/(1.10938-0.0008267*(K61+J61+L61)+0.0000016*POWER((K61+J61+L61),2)-0.0002575*B61))-450)/100</f>
        <v>0.170812020197912</v>
      </c>
      <c r="W61" s="5" t="n">
        <f aca="false">((495/(1.099075-0.0008209*(K61+J61+L61)+0.0000026*POWER((K61+J61+L61),2)-0.0002017*B61-0.00005675*E61+0.000018586*I61))-450)/100</f>
        <v>0.213673358735073</v>
      </c>
      <c r="X61" s="5" t="n">
        <f aca="false">(0-98.42+4.15*E61/2.54-0.082*C61/0.4536)/(C61/0.45359)</f>
        <v>0.210664166235069</v>
      </c>
      <c r="Y61" s="4" t="n">
        <f aca="false">C61*W61</f>
        <v>15.8331958822689</v>
      </c>
      <c r="Z61" s="4" t="n">
        <f aca="false">C61-Y61</f>
        <v>58.2668041177311</v>
      </c>
      <c r="AA61" s="4" t="n">
        <f aca="false">Z61/POWER($B$4/100,2)</f>
        <v>20.6444175587199</v>
      </c>
      <c r="AB61" s="4" t="n">
        <f aca="false">AA61+6.1*(1.8-$B$4/100)</f>
        <v>21.3764175587199</v>
      </c>
      <c r="AC61" s="4"/>
      <c r="AD61" s="4"/>
    </row>
    <row r="62" customFormat="false" ht="15" hidden="false" customHeight="false" outlineLevel="0" collapsed="false">
      <c r="A62" s="2" t="n">
        <v>42768</v>
      </c>
      <c r="B62" s="0" t="n">
        <f aca="false">ROUNDDOWN((A62-$B$2)/365,1)</f>
        <v>26.1</v>
      </c>
      <c r="C62" s="0" t="n">
        <v>75.6</v>
      </c>
      <c r="D62" s="0" t="n">
        <v>86</v>
      </c>
      <c r="E62" s="0" t="n">
        <v>90</v>
      </c>
      <c r="F62" s="0" t="n">
        <v>95</v>
      </c>
      <c r="G62" s="0" t="n">
        <v>36.8</v>
      </c>
      <c r="I62" s="0" t="n">
        <v>28.5</v>
      </c>
      <c r="J62" s="0" t="n">
        <v>35</v>
      </c>
      <c r="K62" s="0" t="n">
        <v>10</v>
      </c>
      <c r="L62" s="0" t="n">
        <v>13</v>
      </c>
      <c r="T62" s="4" t="n">
        <f aca="false">C62/(POWER($B$4/100,2))</f>
        <v>26.7857142857143</v>
      </c>
      <c r="U62" s="5" t="n">
        <f aca="false">((86.01*LOG10(E62-G62))-(70.041*LOG10($B$4))+30.3)/100</f>
        <v>0.22882772092336</v>
      </c>
      <c r="V62" s="5" t="n">
        <f aca="false">((495/(1.10938-0.0008267*(K62+J62+L62)+0.0000016*POWER((K62+J62+L62),2)-0.0002575*B62))-450)/100</f>
        <v>0.169401426601183</v>
      </c>
      <c r="W62" s="5" t="n">
        <f aca="false">((495/(1.099075-0.0008209*(K62+J62+L62)+0.0000026*POWER((K62+J62+L62),2)-0.0002017*B62-0.00005675*E62+0.000018586*I62))-450)/100</f>
        <v>0.212638395825659</v>
      </c>
      <c r="X62" s="5" t="n">
        <f aca="false">(0-98.42+4.15*E62/2.54-0.082*C62/0.4536)/(C62/0.45359)</f>
        <v>0.209758840151926</v>
      </c>
      <c r="Y62" s="4" t="n">
        <f aca="false">C62*W62</f>
        <v>16.0754627244198</v>
      </c>
      <c r="Z62" s="4" t="n">
        <f aca="false">C62-Y62</f>
        <v>59.5245372755802</v>
      </c>
      <c r="AA62" s="4" t="n">
        <f aca="false">Z62/POWER($B$4/100,2)</f>
        <v>21.0900429689556</v>
      </c>
      <c r="AB62" s="4" t="n">
        <f aca="false">AA62+6.1*(1.8-$B$4/100)</f>
        <v>21.8220429689556</v>
      </c>
      <c r="AC62" s="4"/>
      <c r="AD62" s="4"/>
    </row>
    <row r="63" customFormat="false" ht="15" hidden="false" customHeight="false" outlineLevel="0" collapsed="false">
      <c r="A63" s="2" t="n">
        <v>42787</v>
      </c>
      <c r="B63" s="0" t="n">
        <f aca="false">ROUNDDOWN((A63-$B$2)/365,1)</f>
        <v>26.1</v>
      </c>
      <c r="C63" s="0" t="n">
        <v>75.5</v>
      </c>
      <c r="D63" s="0" t="n">
        <v>85.5</v>
      </c>
      <c r="E63" s="0" t="n">
        <v>91</v>
      </c>
      <c r="F63" s="0" t="n">
        <v>95</v>
      </c>
      <c r="G63" s="0" t="n">
        <v>36.3</v>
      </c>
      <c r="I63" s="0" t="n">
        <v>28.5</v>
      </c>
      <c r="J63" s="0" t="n">
        <v>35</v>
      </c>
      <c r="K63" s="0" t="n">
        <v>11</v>
      </c>
      <c r="L63" s="0" t="n">
        <v>15</v>
      </c>
      <c r="T63" s="4" t="n">
        <f aca="false">C63/(POWER($B$4/100,2))</f>
        <v>26.750283446712</v>
      </c>
      <c r="U63" s="5" t="n">
        <f aca="false">((86.01*LOG10(E63-G63))-(70.041*LOG10($B$4))+30.3)/100</f>
        <v>0.239214025365773</v>
      </c>
      <c r="V63" s="5" t="n">
        <f aca="false">((495/(1.10938-0.0008267*(K63+J63+L63)+0.0000016*POWER((K63+J63+L63),2)-0.0002575*B63))-450)/100</f>
        <v>0.177824743453207</v>
      </c>
      <c r="W63" s="5" t="n">
        <f aca="false">((495/(1.099075-0.0008209*(K63+J63+L63)+0.0000026*POWER((K63+J63+L63),2)-0.0002017*B63-0.00005675*E63+0.000018586*I63))-450)/100</f>
        <v>0.219788623722995</v>
      </c>
      <c r="X63" s="5" t="n">
        <f aca="false">(0-98.42+4.15*E63/2.54-0.082*C63/0.4536)/(C63/0.45359)</f>
        <v>0.219961190812756</v>
      </c>
      <c r="Y63" s="4" t="n">
        <f aca="false">C63*W63</f>
        <v>16.5940410910861</v>
      </c>
      <c r="Z63" s="4" t="n">
        <f aca="false">C63-Y63</f>
        <v>58.9059589089139</v>
      </c>
      <c r="AA63" s="4" t="n">
        <f aca="false">Z63/POWER($B$4/100,2)</f>
        <v>20.8708754637592</v>
      </c>
      <c r="AB63" s="4" t="n">
        <f aca="false">AA63+6.1*(1.8-$B$4/100)</f>
        <v>21.6028754637592</v>
      </c>
      <c r="AC63" s="4"/>
      <c r="AD63" s="4"/>
    </row>
    <row r="64" customFormat="false" ht="15" hidden="false" customHeight="false" outlineLevel="0" collapsed="false">
      <c r="A64" s="2" t="n">
        <v>42802</v>
      </c>
      <c r="B64" s="0" t="n">
        <f aca="false">ROUNDDOWN((A64-$B$2)/365,1)</f>
        <v>26.2</v>
      </c>
      <c r="C64" s="0" t="n">
        <v>76.4</v>
      </c>
      <c r="D64" s="0" t="n">
        <v>85</v>
      </c>
      <c r="E64" s="0" t="n">
        <v>91.5</v>
      </c>
      <c r="F64" s="0" t="n">
        <v>95</v>
      </c>
      <c r="G64" s="0" t="n">
        <v>36.6</v>
      </c>
      <c r="I64" s="0" t="n">
        <v>28.7</v>
      </c>
      <c r="J64" s="0" t="n">
        <v>34</v>
      </c>
      <c r="K64" s="0" t="n">
        <v>11.5</v>
      </c>
      <c r="L64" s="0" t="n">
        <v>14</v>
      </c>
      <c r="T64" s="4" t="n">
        <f aca="false">C64/(POWER($B$4/100,2))</f>
        <v>27.0691609977324</v>
      </c>
      <c r="U64" s="5" t="n">
        <f aca="false">((86.01*LOG10(E64-G64))-(70.041*LOG10($B$4))+30.3)/100</f>
        <v>0.240577299447913</v>
      </c>
      <c r="V64" s="5" t="n">
        <f aca="false">((495/(1.10938-0.0008267*(K64+J64+L64)+0.0000016*POWER((K64+J64+L64),2)-0.0002575*B64))-450)/100</f>
        <v>0.173738804566196</v>
      </c>
      <c r="W64" s="5" t="n">
        <f aca="false">((495/(1.099075-0.0008209*(K64+J64+L64)+0.0000026*POWER((K64+J64+L64),2)-0.0002017*B64-0.00005675*E64+0.000018586*I64))-450)/100</f>
        <v>0.216566047296093</v>
      </c>
      <c r="X64" s="5" t="n">
        <f aca="false">(0-98.42+4.15*E64/2.54-0.082*C64/0.4536)/(C64/0.45359)</f>
        <v>0.221254220146256</v>
      </c>
      <c r="Y64" s="4" t="n">
        <f aca="false">C64*W64</f>
        <v>16.5456460134215</v>
      </c>
      <c r="Z64" s="4" t="n">
        <f aca="false">C64-Y64</f>
        <v>59.8543539865785</v>
      </c>
      <c r="AA64" s="4" t="n">
        <f aca="false">Z64/POWER($B$4/100,2)</f>
        <v>21.206899796832</v>
      </c>
      <c r="AB64" s="4" t="n">
        <f aca="false">AA64+6.1*(1.8-$B$4/100)</f>
        <v>21.938899796832</v>
      </c>
      <c r="AC64" s="4"/>
      <c r="AD64" s="4"/>
    </row>
    <row r="65" customFormat="false" ht="15" hidden="false" customHeight="false" outlineLevel="0" collapsed="false">
      <c r="A65" s="2" t="n">
        <v>42832</v>
      </c>
      <c r="B65" s="0" t="n">
        <f aca="false">ROUNDDOWN((A65-$B$2)/365,1)</f>
        <v>26.3</v>
      </c>
      <c r="C65" s="0" t="n">
        <v>77.9</v>
      </c>
      <c r="D65" s="0" t="n">
        <v>86</v>
      </c>
      <c r="E65" s="0" t="n">
        <v>92.3</v>
      </c>
      <c r="F65" s="0" t="n">
        <v>95</v>
      </c>
      <c r="G65" s="0" t="n">
        <v>36.6</v>
      </c>
      <c r="I65" s="0" t="n">
        <v>28.8</v>
      </c>
      <c r="J65" s="0" t="n">
        <v>36</v>
      </c>
      <c r="K65" s="0" t="n">
        <v>11</v>
      </c>
      <c r="L65" s="0" t="n">
        <v>15</v>
      </c>
      <c r="T65" s="4" t="n">
        <f aca="false">C65/(POWER($B$4/100,2))</f>
        <v>27.6006235827664</v>
      </c>
      <c r="U65" s="5" t="n">
        <f aca="false">((86.01*LOG10(E65-G65))-(70.041*LOG10($B$4))+30.3)/100</f>
        <v>0.245981179355313</v>
      </c>
      <c r="V65" s="5" t="n">
        <f aca="false">((495/(1.10938-0.0008267*(K65+J65+L65)+0.0000016*POWER((K65+J65+L65),2)-0.0002575*B65))-450)/100</f>
        <v>0.180838891435508</v>
      </c>
      <c r="W65" s="5" t="n">
        <f aca="false">((495/(1.099075-0.0008209*(K65+J65+L65)+0.0000026*POWER((K65+J65+L65),2)-0.0002017*B65-0.00005675*E65+0.000018586*I65))-450)/100</f>
        <v>0.222533768835004</v>
      </c>
      <c r="X65" s="5" t="n">
        <f aca="false">(0-98.42+4.15*E65/2.54-0.082*C65/0.4536)/(C65/0.45359)</f>
        <v>0.223025757999192</v>
      </c>
      <c r="Y65" s="4" t="n">
        <f aca="false">C65*W65</f>
        <v>17.3353805922468</v>
      </c>
      <c r="Z65" s="4" t="n">
        <f aca="false">C65-Y65</f>
        <v>60.5646194077532</v>
      </c>
      <c r="AA65" s="4" t="n">
        <f aca="false">Z65/POWER($B$4/100,2)</f>
        <v>21.4585527946971</v>
      </c>
      <c r="AB65" s="4" t="n">
        <f aca="false">AA65+6.1*(1.8-$B$4/100)</f>
        <v>22.1905527946971</v>
      </c>
      <c r="AC65" s="4"/>
      <c r="AD65" s="4"/>
    </row>
    <row r="66" customFormat="false" ht="15" hidden="false" customHeight="false" outlineLevel="0" collapsed="false">
      <c r="A66" s="2" t="n">
        <v>42833</v>
      </c>
      <c r="B66" s="0" t="n">
        <f aca="false">ROUNDDOWN((A66-$B$2)/365,1)</f>
        <v>26.3</v>
      </c>
      <c r="C66" s="0" t="n">
        <v>75.5</v>
      </c>
      <c r="D66" s="0" t="n">
        <v>85.5</v>
      </c>
      <c r="E66" s="0" t="n">
        <v>92</v>
      </c>
      <c r="F66" s="0" t="n">
        <v>95</v>
      </c>
      <c r="G66" s="0" t="n">
        <v>36.2</v>
      </c>
      <c r="I66" s="0" t="n">
        <v>28.6</v>
      </c>
      <c r="J66" s="0" t="n">
        <v>36</v>
      </c>
      <c r="K66" s="0" t="n">
        <v>10.5</v>
      </c>
      <c r="L66" s="0" t="n">
        <v>15</v>
      </c>
      <c r="T66" s="4" t="n">
        <f aca="false">C66/(POWER($B$4/100,2))</f>
        <v>26.750283446712</v>
      </c>
      <c r="U66" s="5" t="n">
        <f aca="false">((86.01*LOG10(E66-G66))-(70.041*LOG10($B$4))+30.3)/100</f>
        <v>0.2466512004926</v>
      </c>
      <c r="V66" s="5" t="n">
        <f aca="false">((495/(1.10938-0.0008267*(K66+J66+L66)+0.0000016*POWER((K66+J66+L66),2)-0.0002575*B66))-450)/100</f>
        <v>0.179447008476795</v>
      </c>
      <c r="W66" s="5" t="n">
        <f aca="false">((495/(1.099075-0.0008209*(K66+J66+L66)+0.0000026*POWER((K66+J66+L66),2)-0.0002017*B66-0.00005675*E66+0.000018586*I66))-450)/100</f>
        <v>0.22134817848102</v>
      </c>
      <c r="X66" s="5" t="n">
        <f aca="false">(0-98.42+4.15*E66/2.54-0.082*C66/0.4536)/(C66/0.45359)</f>
        <v>0.229777108318101</v>
      </c>
      <c r="Y66" s="4" t="n">
        <f aca="false">C66*W66</f>
        <v>16.711787475317</v>
      </c>
      <c r="Z66" s="4" t="n">
        <f aca="false">C66-Y66</f>
        <v>58.788212524683</v>
      </c>
      <c r="AA66" s="4" t="n">
        <f aca="false">Z66/POWER($B$4/100,2)</f>
        <v>20.8291569319313</v>
      </c>
      <c r="AB66" s="4" t="n">
        <f aca="false">AA66+6.1*(1.8-$B$4/100)</f>
        <v>21.5611569319313</v>
      </c>
      <c r="AC66" s="4"/>
      <c r="AD66" s="4"/>
    </row>
    <row r="67" customFormat="false" ht="15" hidden="false" customHeight="false" outlineLevel="0" collapsed="false">
      <c r="A67" s="2" t="n">
        <v>42870</v>
      </c>
      <c r="B67" s="0" t="n">
        <f aca="false">ROUNDDOWN((A67-$B$2)/365,1)</f>
        <v>26.4</v>
      </c>
      <c r="C67" s="0" t="n">
        <v>78.5</v>
      </c>
      <c r="D67" s="0" t="n">
        <v>87.5</v>
      </c>
      <c r="E67" s="0" t="n">
        <v>94</v>
      </c>
      <c r="F67" s="0" t="n">
        <v>95</v>
      </c>
      <c r="G67" s="0" t="n">
        <v>36.5</v>
      </c>
      <c r="I67" s="0" t="n">
        <v>29</v>
      </c>
      <c r="J67" s="0" t="n">
        <v>39</v>
      </c>
      <c r="K67" s="0" t="n">
        <v>13</v>
      </c>
      <c r="L67" s="0" t="n">
        <v>15</v>
      </c>
      <c r="T67" s="4" t="n">
        <f aca="false">C67/(POWER($B$4/100,2))</f>
        <v>27.8132086167801</v>
      </c>
      <c r="U67" s="5" t="n">
        <f aca="false">((86.01*LOG10(E67-G67))-(70.041*LOG10($B$4))+30.3)/100</f>
        <v>0.25786143920394</v>
      </c>
      <c r="V67" s="5" t="n">
        <f aca="false">((495/(1.10938-0.0008267*(K67+J67+L67)+0.0000016*POWER((K67+J67+L67),2)-0.0002575*B67))-450)/100</f>
        <v>0.194722136468459</v>
      </c>
      <c r="W67" s="5" t="n">
        <f aca="false">((495/(1.099075-0.0008209*(K67+J67+L67)+0.0000026*POWER((K67+J67+L67),2)-0.0002017*B67-0.00005675*E67+0.000018586*I67))-450)/100</f>
        <v>0.2340075265211</v>
      </c>
      <c r="X67" s="5" t="n">
        <f aca="false">(0-98.42+4.15*E67/2.54-0.082*C67/0.4536)/(C67/0.45359)</f>
        <v>0.236743702479034</v>
      </c>
      <c r="Y67" s="4" t="n">
        <f aca="false">C67*W67</f>
        <v>18.3695908319064</v>
      </c>
      <c r="Z67" s="4" t="n">
        <f aca="false">C67-Y67</f>
        <v>60.1304091680936</v>
      </c>
      <c r="AA67" s="4" t="n">
        <f aca="false">Z67/POWER($B$4/100,2)</f>
        <v>21.304708463752</v>
      </c>
      <c r="AB67" s="4" t="n">
        <f aca="false">AA67+6.1*(1.8-$B$4/100)</f>
        <v>22.036708463752</v>
      </c>
      <c r="AC67" s="4"/>
      <c r="AD67" s="4"/>
    </row>
    <row r="68" customFormat="false" ht="15" hidden="false" customHeight="false" outlineLevel="0" collapsed="false">
      <c r="A68" s="2" t="n">
        <v>42893</v>
      </c>
      <c r="B68" s="0" t="n">
        <f aca="false">ROUNDDOWN((A68-$B$2)/365,1)</f>
        <v>26.4</v>
      </c>
      <c r="C68" s="0" t="n">
        <v>80.7</v>
      </c>
      <c r="D68" s="0" t="n">
        <v>88.5</v>
      </c>
      <c r="E68" s="0" t="n">
        <v>96.2</v>
      </c>
      <c r="F68" s="0" t="n">
        <v>95</v>
      </c>
      <c r="G68" s="0" t="n">
        <v>36.7</v>
      </c>
      <c r="I68" s="0" t="n">
        <v>29</v>
      </c>
      <c r="J68" s="0" t="n">
        <v>39</v>
      </c>
      <c r="K68" s="0" t="n">
        <v>12.5</v>
      </c>
      <c r="L68" s="0" t="n">
        <v>16.5</v>
      </c>
      <c r="T68" s="4" t="n">
        <f aca="false">C68/(POWER($B$4/100,2))</f>
        <v>28.5926870748299</v>
      </c>
      <c r="U68" s="5" t="n">
        <f aca="false">((86.01*LOG10(E68-G68))-(70.041*LOG10($B$4))+30.3)/100</f>
        <v>0.270633168209514</v>
      </c>
      <c r="V68" s="5" t="n">
        <f aca="false">((495/(1.10938-0.0008267*(K68+J68+L68)+0.0000016*POWER((K68+J68+L68),2)-0.0002575*B68))-450)/100</f>
        <v>0.197442920849131</v>
      </c>
      <c r="W68" s="5" t="n">
        <f aca="false">((495/(1.099075-0.0008209*(K68+J68+L68)+0.0000026*POWER((K68+J68+L68),2)-0.0002017*B68-0.00005675*E68+0.000018586*I68))-450)/100</f>
        <v>0.236701753843918</v>
      </c>
      <c r="X68" s="5" t="n">
        <f aca="false">(0-98.42+4.15*E68/2.54-0.082*C68/0.4536)/(C68/0.45359)</f>
        <v>0.248257850301292</v>
      </c>
      <c r="Y68" s="4" t="n">
        <f aca="false">C68*W68</f>
        <v>19.1018315352042</v>
      </c>
      <c r="Z68" s="4" t="n">
        <f aca="false">C68-Y68</f>
        <v>61.5981684647959</v>
      </c>
      <c r="AA68" s="4" t="n">
        <f aca="false">Z68/POWER($B$4/100,2)</f>
        <v>21.8247478971074</v>
      </c>
      <c r="AB68" s="4" t="n">
        <f aca="false">AA68+6.1*(1.8-$B$4/100)</f>
        <v>22.5567478971074</v>
      </c>
      <c r="AC68" s="4"/>
      <c r="AD68" s="4"/>
    </row>
    <row r="69" customFormat="false" ht="15" hidden="false" customHeight="false" outlineLevel="0" collapsed="false">
      <c r="A69" s="2" t="n">
        <v>42902</v>
      </c>
      <c r="B69" s="0" t="n">
        <f aca="false">ROUNDDOWN((A69-$B$2)/365,1)</f>
        <v>26.4</v>
      </c>
      <c r="C69" s="0" t="n">
        <v>79.2</v>
      </c>
      <c r="D69" s="0" t="n">
        <v>87.4</v>
      </c>
      <c r="E69" s="0" t="n">
        <v>95.5</v>
      </c>
      <c r="F69" s="0" t="n">
        <v>95</v>
      </c>
      <c r="G69" s="0" t="n">
        <v>36.6</v>
      </c>
      <c r="I69" s="0" t="n">
        <v>29.4</v>
      </c>
      <c r="J69" s="0" t="n">
        <v>39</v>
      </c>
      <c r="K69" s="0" t="n">
        <v>11.5</v>
      </c>
      <c r="L69" s="0" t="n">
        <v>16.5</v>
      </c>
      <c r="T69" s="4" t="n">
        <f aca="false">C69/(POWER($B$4/100,2))</f>
        <v>28.0612244897959</v>
      </c>
      <c r="U69" s="5" t="n">
        <f aca="false">((86.01*LOG10(E69-G69))-(70.041*LOG10($B$4))+30.3)/100</f>
        <v>0.266847291032775</v>
      </c>
      <c r="V69" s="5" t="n">
        <f aca="false">((495/(1.10938-0.0008267*(K69+J69+L69)+0.0000016*POWER((K69+J69+L69),2)-0.0002575*B69))-450)/100</f>
        <v>0.194722136468459</v>
      </c>
      <c r="W69" s="5" t="n">
        <f aca="false">((495/(1.099075-0.0008209*(K69+J69+L69)+0.0000026*POWER((K69+J69+L69),2)-0.0002017*B69-0.00005675*E69+0.000018586*I69))-450)/100</f>
        <v>0.234359292175961</v>
      </c>
      <c r="X69" s="5" t="n">
        <f aca="false">(0-98.42+4.15*E69/2.54-0.082*C69/0.4536)/(C69/0.45359)</f>
        <v>0.247962557670664</v>
      </c>
      <c r="Y69" s="4" t="n">
        <f aca="false">C69*W69</f>
        <v>18.5612559403361</v>
      </c>
      <c r="Z69" s="4" t="n">
        <f aca="false">C69-Y69</f>
        <v>60.6387440596639</v>
      </c>
      <c r="AA69" s="4" t="n">
        <f aca="false">Z69/POWER($B$4/100,2)</f>
        <v>21.4848157807766</v>
      </c>
      <c r="AB69" s="4" t="n">
        <f aca="false">AA69+6.1*(1.8-$B$4/100)</f>
        <v>22.2168157807766</v>
      </c>
      <c r="AC69" s="4"/>
      <c r="AD69" s="4"/>
    </row>
    <row r="70" customFormat="false" ht="15" hidden="false" customHeight="false" outlineLevel="0" collapsed="false">
      <c r="A70" s="2" t="n">
        <v>42913</v>
      </c>
      <c r="B70" s="0" t="n">
        <f aca="false">ROUNDDOWN((A70-$B$2)/365,1)</f>
        <v>26.5</v>
      </c>
      <c r="C70" s="0" t="n">
        <v>79.9</v>
      </c>
      <c r="D70" s="0" t="n">
        <v>87.5</v>
      </c>
      <c r="E70" s="0" t="n">
        <v>95.3</v>
      </c>
      <c r="F70" s="0" t="n">
        <v>95</v>
      </c>
      <c r="G70" s="0" t="n">
        <v>36.5</v>
      </c>
      <c r="I70" s="0" t="n">
        <v>29.1</v>
      </c>
      <c r="J70" s="0" t="n">
        <v>39</v>
      </c>
      <c r="K70" s="0" t="n">
        <v>10</v>
      </c>
      <c r="L70" s="0" t="n">
        <v>16</v>
      </c>
      <c r="T70" s="4" t="n">
        <f aca="false">C70/(POWER($B$4/100,2))</f>
        <v>28.3092403628118</v>
      </c>
      <c r="U70" s="5" t="n">
        <f aca="false">((86.01*LOG10(E70-G70))-(70.041*LOG10($B$4))+30.3)/100</f>
        <v>0.266212564144475</v>
      </c>
      <c r="V70" s="5" t="n">
        <f aca="false">((495/(1.10938-0.0008267*(K70+J70+L70)+0.0000016*POWER((K70+J70+L70),2)-0.0002575*B70))-450)/100</f>
        <v>0.189361756549652</v>
      </c>
      <c r="W70" s="5" t="n">
        <f aca="false">((495/(1.099075-0.0008209*(K70+J70+L70)+0.0000026*POWER((K70+J70+L70),2)-0.0002017*B70-0.00005675*E70+0.000018586*I70))-450)/100</f>
        <v>0.230102150571274</v>
      </c>
      <c r="X70" s="5" t="n">
        <f aca="false">(0-98.42+4.15*E70/2.54-0.082*C70/0.4536)/(C70/0.45359)</f>
        <v>0.243216714375694</v>
      </c>
      <c r="Y70" s="4" t="n">
        <f aca="false">C70*W70</f>
        <v>18.3851618306448</v>
      </c>
      <c r="Z70" s="4" t="n">
        <f aca="false">C70-Y70</f>
        <v>61.5148381693552</v>
      </c>
      <c r="AA70" s="4" t="n">
        <f aca="false">Z70/POWER($B$4/100,2)</f>
        <v>21.7952232742897</v>
      </c>
      <c r="AB70" s="4" t="n">
        <f aca="false">AA70+6.1*(1.8-$B$4/100)</f>
        <v>22.5272232742897</v>
      </c>
      <c r="AC70" s="4"/>
      <c r="AD70" s="4"/>
    </row>
    <row r="71" customFormat="false" ht="15" hidden="false" customHeight="false" outlineLevel="0" collapsed="false">
      <c r="A71" s="2" t="n">
        <v>42929</v>
      </c>
      <c r="B71" s="0" t="n">
        <f aca="false">ROUNDDOWN((A71-$B$2)/365,1)</f>
        <v>26.5</v>
      </c>
      <c r="C71" s="0" t="n">
        <v>79.4</v>
      </c>
      <c r="D71" s="0" t="n">
        <v>88</v>
      </c>
      <c r="E71" s="0" t="n">
        <v>96</v>
      </c>
      <c r="F71" s="0" t="n">
        <v>95</v>
      </c>
      <c r="G71" s="0" t="n">
        <v>36.4</v>
      </c>
      <c r="I71" s="0" t="n">
        <v>29.2</v>
      </c>
      <c r="J71" s="0" t="n">
        <v>39</v>
      </c>
      <c r="K71" s="0" t="n">
        <v>9</v>
      </c>
      <c r="L71" s="0" t="n">
        <v>16</v>
      </c>
      <c r="T71" s="4" t="n">
        <f aca="false">C71/(POWER($B$4/100,2))</f>
        <v>28.1320861678005</v>
      </c>
      <c r="U71" s="5" t="n">
        <f aca="false">((86.01*LOG10(E71-G71))-(70.041*LOG10($B$4))+30.3)/100</f>
        <v>0.271260433988966</v>
      </c>
      <c r="V71" s="5" t="n">
        <f aca="false">((495/(1.10938-0.0008267*(K71+J71+L71)+0.0000016*POWER((K71+J71+L71),2)-0.0002575*B71))-450)/100</f>
        <v>0.186607724921311</v>
      </c>
      <c r="W71" s="5" t="n">
        <f aca="false">((495/(1.099075-0.0008209*(K71+J71+L71)+0.0000026*POWER((K71+J71+L71),2)-0.0002017*B71-0.00005675*E71+0.000018586*I71))-450)/100</f>
        <v>0.228079723873939</v>
      </c>
      <c r="X71" s="5" t="n">
        <f aca="false">(0-98.42+4.15*E71/2.54-0.082*C71/0.4536)/(C71/0.45359)</f>
        <v>0.251798310011277</v>
      </c>
      <c r="Y71" s="4" t="n">
        <f aca="false">C71*W71</f>
        <v>18.1095300755907</v>
      </c>
      <c r="Z71" s="4" t="n">
        <f aca="false">C71-Y71</f>
        <v>61.2904699244093</v>
      </c>
      <c r="AA71" s="4" t="n">
        <f aca="false">Z71/POWER($B$4/100,2)</f>
        <v>21.7157277226507</v>
      </c>
      <c r="AB71" s="4" t="n">
        <f aca="false">AA71+6.1*(1.8-$B$4/100)</f>
        <v>22.4477277226507</v>
      </c>
      <c r="AC71" s="4"/>
      <c r="AD71" s="4"/>
    </row>
    <row r="72" customFormat="false" ht="15" hidden="false" customHeight="false" outlineLevel="0" collapsed="false">
      <c r="A72" s="2" t="n">
        <v>43241</v>
      </c>
      <c r="B72" s="0" t="n">
        <f aca="false">ROUNDDOWN((A72-$B$2)/365,1)</f>
        <v>27.4</v>
      </c>
      <c r="C72" s="0" t="n">
        <v>77</v>
      </c>
      <c r="D72" s="0" t="n">
        <v>86</v>
      </c>
      <c r="E72" s="0" t="n">
        <v>94</v>
      </c>
      <c r="F72" s="0" t="n">
        <v>95</v>
      </c>
      <c r="G72" s="0" t="n">
        <v>36</v>
      </c>
      <c r="I72" s="0" t="n">
        <v>28.4</v>
      </c>
      <c r="J72" s="0" t="n">
        <v>42</v>
      </c>
      <c r="K72" s="0" t="n">
        <v>13</v>
      </c>
      <c r="L72" s="0" t="n">
        <v>16.5</v>
      </c>
      <c r="T72" s="4" t="n">
        <f aca="false">C72/(POWER($B$4/100,2))</f>
        <v>27.281746031746</v>
      </c>
      <c r="U72" s="5" t="n">
        <f aca="false">((86.01*LOG10(E72-G72))-(70.041*LOG10($B$4))+30.3)/100</f>
        <v>0.261095543249871</v>
      </c>
      <c r="V72" s="5" t="n">
        <f aca="false">((495/(1.10938-0.0008267*(K72+J72+L72)+0.0000016*POWER((K72+J72+L72),2)-0.0002575*B72))-450)/100</f>
        <v>0.208030535239823</v>
      </c>
      <c r="W72" s="5" t="n">
        <f aca="false">((495/(1.099075-0.0008209*(K72+J72+L72)+0.0000026*POWER((K72+J72+L72),2)-0.0002017*B72-0.00005675*E72+0.000018586*I72))-450)/100</f>
        <v>0.244381984258392</v>
      </c>
      <c r="X72" s="5" t="n">
        <f aca="false">(0-98.42+4.15*E72/2.54-0.082*C72/0.4536)/(C72/0.45359)</f>
        <v>0.242952960168363</v>
      </c>
      <c r="Y72" s="4" t="n">
        <f aca="false">C72*W72</f>
        <v>18.8174127878962</v>
      </c>
      <c r="Z72" s="4" t="n">
        <f aca="false">C72-Y72</f>
        <v>58.1825872121038</v>
      </c>
      <c r="AA72" s="4" t="n">
        <f aca="false">Z72/POWER($B$4/100,2)</f>
        <v>20.6145788024744</v>
      </c>
      <c r="AB72" s="4" t="n">
        <f aca="false">AA72+6.1*(1.8-$B$4/100)</f>
        <v>21.3465788024744</v>
      </c>
      <c r="AC72" s="4"/>
      <c r="AD72" s="4"/>
    </row>
    <row r="73" customFormat="false" ht="15" hidden="false" customHeight="false" outlineLevel="0" collapsed="false">
      <c r="A73" s="2" t="n">
        <v>43246</v>
      </c>
      <c r="B73" s="0" t="n">
        <f aca="false">ROUNDDOWN((A73-$B$2)/365,1)</f>
        <v>27.4</v>
      </c>
      <c r="C73" s="0" t="n">
        <v>76</v>
      </c>
      <c r="D73" s="0" t="n">
        <v>86</v>
      </c>
      <c r="E73" s="0" t="n">
        <v>94</v>
      </c>
      <c r="F73" s="0" t="n">
        <v>95</v>
      </c>
      <c r="G73" s="0" t="n">
        <v>36</v>
      </c>
      <c r="I73" s="0" t="n">
        <v>28.4</v>
      </c>
      <c r="J73" s="0" t="n">
        <v>40</v>
      </c>
      <c r="K73" s="0" t="n">
        <v>12.5</v>
      </c>
      <c r="L73" s="0" t="n">
        <v>16</v>
      </c>
      <c r="T73" s="4" t="n">
        <f aca="false">C73/(POWER($B$4/100,2))</f>
        <v>26.9274376417234</v>
      </c>
      <c r="U73" s="5" t="n">
        <f aca="false">((86.01*LOG10(E73-G73))-(70.041*LOG10($B$4))+30.3)/100</f>
        <v>0.261095543249871</v>
      </c>
      <c r="V73" s="5" t="n">
        <f aca="false">((495/(1.10938-0.0008267*(K73+J73+L73)+0.0000016*POWER((K73+J73+L73),2)-0.0002575*B73))-450)/100</f>
        <v>0.199947963505426</v>
      </c>
      <c r="W73" s="5" t="n">
        <f aca="false">((495/(1.099075-0.0008209*(K73+J73+L73)+0.0000026*POWER((K73+J73+L73),2)-0.0002017*B73-0.00005675*E73+0.000018586*I73))-450)/100</f>
        <v>0.238157171037618</v>
      </c>
      <c r="X73" s="5" t="n">
        <f aca="false">(0-98.42+4.15*E73/2.54-0.082*C73/0.4536)/(C73/0.45359)</f>
        <v>0.247228633226366</v>
      </c>
      <c r="Y73" s="4" t="n">
        <f aca="false">C73*W73</f>
        <v>18.0999449988589</v>
      </c>
      <c r="Z73" s="4" t="n">
        <f aca="false">C73-Y73</f>
        <v>57.9000550011411</v>
      </c>
      <c r="AA73" s="4" t="n">
        <f aca="false">Z73/POWER($B$4/100,2)</f>
        <v>20.5144752696787</v>
      </c>
      <c r="AB73" s="4" t="n">
        <f aca="false">AA73+6.1*(1.8-$B$4/100)</f>
        <v>21.2464752696787</v>
      </c>
      <c r="AC73" s="4"/>
      <c r="AD73" s="4"/>
    </row>
    <row r="74" customFormat="false" ht="15" hidden="false" customHeight="false" outlineLevel="0" collapsed="false">
      <c r="A74" s="2" t="n">
        <v>43280</v>
      </c>
      <c r="B74" s="0" t="n">
        <f aca="false">ROUNDDOWN((A74-$B$2)/365,1)</f>
        <v>27.5</v>
      </c>
      <c r="C74" s="0" t="n">
        <v>73</v>
      </c>
      <c r="D74" s="0" t="n">
        <v>84.2</v>
      </c>
      <c r="E74" s="0" t="n">
        <v>91</v>
      </c>
      <c r="F74" s="0" t="n">
        <v>95</v>
      </c>
      <c r="G74" s="0" t="n">
        <v>35.9</v>
      </c>
      <c r="I74" s="0" t="n">
        <v>27.9</v>
      </c>
      <c r="J74" s="0" t="n">
        <v>33</v>
      </c>
      <c r="K74" s="0" t="n">
        <v>12.5</v>
      </c>
      <c r="L74" s="0" t="n">
        <v>14.5</v>
      </c>
      <c r="T74" s="4" t="n">
        <f aca="false">C74/(POWER($B$4/100,2))</f>
        <v>25.8645124716553</v>
      </c>
      <c r="U74" s="5" t="n">
        <f aca="false">((86.01*LOG10(E74-G74))-(70.041*LOG10($B$4))+30.3)/100</f>
        <v>0.241935616158809</v>
      </c>
      <c r="V74" s="5" t="n">
        <f aca="false">((495/(1.10938-0.0008267*(K74+J74+L74)+0.0000016*POWER((K74+J74+L74),2)-0.0002575*B74))-450)/100</f>
        <v>0.176619994156586</v>
      </c>
      <c r="W74" s="5" t="n">
        <f aca="false">((495/(1.099075-0.0008209*(K74+J74+L74)+0.0000026*POWER((K74+J74+L74),2)-0.0002017*B74-0.00005675*E74+0.000018586*I74))-450)/100</f>
        <v>0.218831299761373</v>
      </c>
      <c r="X74" s="5" t="n">
        <f aca="false">(0-98.42+4.15*E74/2.54-0.082*C74/0.4536)/(C74/0.45359)</f>
        <v>0.230302265574832</v>
      </c>
      <c r="Y74" s="4" t="n">
        <f aca="false">C74*W74</f>
        <v>15.9746848825802</v>
      </c>
      <c r="Z74" s="4" t="n">
        <f aca="false">C74-Y74</f>
        <v>57.0253151174198</v>
      </c>
      <c r="AA74" s="4" t="n">
        <f aca="false">Z74/POWER($B$4/100,2)</f>
        <v>20.2045475897888</v>
      </c>
      <c r="AB74" s="4" t="n">
        <f aca="false">AA74+6.1*(1.8-$B$4/100)</f>
        <v>20.9365475897888</v>
      </c>
      <c r="AC74" s="4"/>
      <c r="AD74" s="4"/>
    </row>
    <row r="75" customFormat="false" ht="15" hidden="false" customHeight="false" outlineLevel="0" collapsed="false">
      <c r="A75" s="2" t="n">
        <v>43299</v>
      </c>
      <c r="B75" s="0" t="n">
        <f aca="false">ROUNDDOWN((A75-$B$2)/365,1)</f>
        <v>27.5</v>
      </c>
      <c r="C75" s="0" t="n">
        <v>73.4</v>
      </c>
      <c r="D75" s="0" t="n">
        <v>84.5</v>
      </c>
      <c r="E75" s="0" t="n">
        <v>91.5</v>
      </c>
      <c r="F75" s="0" t="n">
        <v>95</v>
      </c>
      <c r="G75" s="0" t="n">
        <v>35.2</v>
      </c>
      <c r="I75" s="0" t="n">
        <v>28</v>
      </c>
      <c r="J75" s="0" t="n">
        <v>32</v>
      </c>
      <c r="K75" s="0" t="n">
        <v>11</v>
      </c>
      <c r="L75" s="0" t="n">
        <v>15</v>
      </c>
      <c r="T75" s="4" t="n">
        <f aca="false">C75/(POWER($B$4/100,2))</f>
        <v>26.0062358276644</v>
      </c>
      <c r="U75" s="5" t="n">
        <f aca="false">((86.01*LOG10(E75-G75))-(70.041*LOG10($B$4))+30.3)/100</f>
        <v>0.249983396398032</v>
      </c>
      <c r="V75" s="5" t="n">
        <f aca="false">((495/(1.10938-0.0008267*(K75+J75+L75)+0.0000016*POWER((K75+J75+L75),2)-0.0002575*B75))-450)/100</f>
        <v>0.170989864376629</v>
      </c>
      <c r="W75" s="5" t="n">
        <f aca="false">((495/(1.099075-0.0008209*(K75+J75+L75)+0.0000026*POWER((K75+J75+L75),2)-0.0002017*B75-0.00005675*E75+0.000018586*I75))-450)/100</f>
        <v>0.214329566530359</v>
      </c>
      <c r="X75" s="5" t="n">
        <f aca="false">(0-98.42+4.15*E75/2.54-0.082*C75/0.4536)/(C75/0.45359)</f>
        <v>0.233648732914081</v>
      </c>
      <c r="Y75" s="4" t="n">
        <f aca="false">C75*W75</f>
        <v>15.7317901833283</v>
      </c>
      <c r="Z75" s="4" t="n">
        <f aca="false">C75-Y75</f>
        <v>57.6682098166717</v>
      </c>
      <c r="AA75" s="4" t="n">
        <f aca="false">Z75/POWER($B$4/100,2)</f>
        <v>20.4323305756348</v>
      </c>
      <c r="AB75" s="4" t="n">
        <f aca="false">AA75+6.1*(1.8-$B$4/100)</f>
        <v>21.1643305756348</v>
      </c>
      <c r="AC75" s="4"/>
      <c r="AD75" s="4"/>
    </row>
    <row r="76" customFormat="false" ht="15" hidden="false" customHeight="false" outlineLevel="0" collapsed="false">
      <c r="A76" s="2" t="n">
        <v>43306</v>
      </c>
      <c r="B76" s="0" t="n">
        <f aca="false">ROUNDDOWN((A76-$B$2)/365,1)</f>
        <v>27.6</v>
      </c>
      <c r="C76" s="0" t="n">
        <v>72.8</v>
      </c>
      <c r="D76" s="0" t="n">
        <v>83.4</v>
      </c>
      <c r="E76" s="0" t="n">
        <v>91</v>
      </c>
      <c r="F76" s="0" t="n">
        <v>95</v>
      </c>
      <c r="G76" s="0" t="n">
        <v>36</v>
      </c>
      <c r="I76" s="0" t="n">
        <v>28</v>
      </c>
      <c r="J76" s="0" t="n">
        <v>32</v>
      </c>
      <c r="K76" s="0" t="n">
        <v>11</v>
      </c>
      <c r="L76" s="0" t="n">
        <v>15</v>
      </c>
      <c r="T76" s="4" t="n">
        <f aca="false">C76/(POWER($B$4/100,2))</f>
        <v>25.7936507936508</v>
      </c>
      <c r="U76" s="5" t="n">
        <f aca="false">((86.01*LOG10(E76-G76))-(70.041*LOG10($B$4))+30.3)/100</f>
        <v>0.241257075220388</v>
      </c>
      <c r="V76" s="5" t="n">
        <f aca="false">((495/(1.10938-0.0008267*(K76+J76+L76)+0.0000016*POWER((K76+J76+L76),2)-0.0002575*B76))-450)/100</f>
        <v>0.171103365572439</v>
      </c>
      <c r="W76" s="5" t="n">
        <f aca="false">((495/(1.099075-0.0008209*(K76+J76+L76)+0.0000026*POWER((K76+J76+L76),2)-0.0002017*B76-0.00005675*E76+0.000018586*I76))-450)/100</f>
        <v>0.214292727357371</v>
      </c>
      <c r="X76" s="5" t="n">
        <f aca="false">(0-98.42+4.15*E76/2.54-0.082*C76/0.4536)/(C76/0.45359)</f>
        <v>0.231160233865532</v>
      </c>
      <c r="Y76" s="4" t="n">
        <f aca="false">C76*W76</f>
        <v>15.6005105516166</v>
      </c>
      <c r="Z76" s="4" t="n">
        <f aca="false">C76-Y76</f>
        <v>57.1994894483834</v>
      </c>
      <c r="AA76" s="4" t="n">
        <f aca="false">Z76/POWER($B$4/100,2)</f>
        <v>20.2662590165757</v>
      </c>
      <c r="AB76" s="4" t="n">
        <f aca="false">AA76+6.1*(1.8-$B$4/100)</f>
        <v>20.9982590165757</v>
      </c>
      <c r="AC76" s="4"/>
      <c r="AD76" s="4"/>
    </row>
    <row r="77" customFormat="false" ht="15" hidden="false" customHeight="false" outlineLevel="0" collapsed="false">
      <c r="A77" s="2" t="n">
        <v>43315</v>
      </c>
      <c r="B77" s="0" t="n">
        <f aca="false">ROUNDDOWN((A77-$B$2)/365,1)</f>
        <v>27.6</v>
      </c>
      <c r="C77" s="0" t="n">
        <v>73.8</v>
      </c>
      <c r="D77" s="0" t="n">
        <v>83.5</v>
      </c>
      <c r="E77" s="0" t="n">
        <v>90</v>
      </c>
      <c r="F77" s="0" t="n">
        <v>95</v>
      </c>
      <c r="G77" s="0" t="n">
        <v>35.9</v>
      </c>
      <c r="I77" s="0" t="n">
        <v>28.2</v>
      </c>
      <c r="J77" s="0" t="n">
        <v>32</v>
      </c>
      <c r="K77" s="0" t="n">
        <v>13</v>
      </c>
      <c r="L77" s="0" t="n">
        <v>14.5</v>
      </c>
      <c r="T77" s="4" t="n">
        <f aca="false">C77/(POWER($B$4/100,2))</f>
        <v>26.1479591836735</v>
      </c>
      <c r="U77" s="5" t="n">
        <f aca="false">((86.01*LOG10(E77-G77))-(70.041*LOG10($B$4))+30.3)/100</f>
        <v>0.235094093704549</v>
      </c>
      <c r="V77" s="5" t="n">
        <f aca="false">((495/(1.10938-0.0008267*(K77+J77+L77)+0.0000016*POWER((K77+J77+L77),2)-0.0002575*B77))-450)/100</f>
        <v>0.175330195195036</v>
      </c>
      <c r="W77" s="5" t="n">
        <f aca="false">((495/(1.099075-0.0008209*(K77+J77+L77)+0.0000026*POWER((K77+J77+L77),2)-0.0002017*B77-0.00005675*E77+0.000018586*I77))-450)/100</f>
        <v>0.217494485743568</v>
      </c>
      <c r="X77" s="5" t="n">
        <f aca="false">(0-98.42+4.15*E77/2.54-0.082*C77/0.4536)/(C77/0.45359)</f>
        <v>0.216874865332213</v>
      </c>
      <c r="Y77" s="4" t="n">
        <f aca="false">C77*W77</f>
        <v>16.0510930478753</v>
      </c>
      <c r="Z77" s="4" t="n">
        <f aca="false">C77-Y77</f>
        <v>57.7489069521247</v>
      </c>
      <c r="AA77" s="4" t="n">
        <f aca="false">Z77/POWER($B$4/100,2)</f>
        <v>20.4609222477766</v>
      </c>
      <c r="AB77" s="4" t="n">
        <f aca="false">AA77+6.1*(1.8-$B$4/100)</f>
        <v>21.1929222477766</v>
      </c>
      <c r="AC77" s="4"/>
      <c r="AD77" s="4"/>
    </row>
    <row r="78" customFormat="false" ht="15" hidden="false" customHeight="false" outlineLevel="0" collapsed="false">
      <c r="A78" s="2" t="n">
        <v>43322</v>
      </c>
      <c r="B78" s="0" t="n">
        <f aca="false">ROUNDDOWN((A78-$B$2)/365,1)</f>
        <v>27.6</v>
      </c>
      <c r="C78" s="0" t="n">
        <v>73.3</v>
      </c>
      <c r="D78" s="0" t="n">
        <v>83.5</v>
      </c>
      <c r="E78" s="0" t="n">
        <v>90.4</v>
      </c>
      <c r="F78" s="0" t="n">
        <v>95</v>
      </c>
      <c r="G78" s="0" t="n">
        <v>36.5</v>
      </c>
      <c r="I78" s="0" t="n">
        <v>28.5</v>
      </c>
      <c r="J78" s="0" t="n">
        <v>33</v>
      </c>
      <c r="K78" s="0" t="n">
        <v>11</v>
      </c>
      <c r="L78" s="0" t="n">
        <v>14</v>
      </c>
      <c r="T78" s="4" t="n">
        <f aca="false">C78/(POWER($B$4/100,2))</f>
        <v>25.9708049886621</v>
      </c>
      <c r="U78" s="5" t="n">
        <f aca="false">((86.01*LOG10(E78-G78))-(70.041*LOG10($B$4))+30.3)/100</f>
        <v>0.233710622923503</v>
      </c>
      <c r="V78" s="5" t="n">
        <f aca="false">((495/(1.10938-0.0008267*(K78+J78+L78)+0.0000016*POWER((K78+J78+L78),2)-0.0002575*B78))-450)/100</f>
        <v>0.171103365572439</v>
      </c>
      <c r="W78" s="5" t="n">
        <f aca="false">((495/(1.099075-0.0008209*(K78+J78+L78)+0.0000026*POWER((K78+J78+L78),2)-0.0002017*B78-0.00005675*E78+0.000018586*I78))-450)/100</f>
        <v>0.214098133586553</v>
      </c>
      <c r="X78" s="5" t="n">
        <f aca="false">(0-98.42+4.15*E78/2.54-0.082*C78/0.4536)/(C78/0.45359)</f>
        <v>0.222957774437908</v>
      </c>
      <c r="Y78" s="4" t="n">
        <f aca="false">C78*W78</f>
        <v>15.6933931918943</v>
      </c>
      <c r="Z78" s="4" t="n">
        <f aca="false">C78-Y78</f>
        <v>57.6066068081057</v>
      </c>
      <c r="AA78" s="4" t="n">
        <f aca="false">Z78/POWER($B$4/100,2)</f>
        <v>20.4105041128492</v>
      </c>
      <c r="AB78" s="4" t="n">
        <f aca="false">AA78+6.1*(1.8-$B$4/100)</f>
        <v>21.1425041128492</v>
      </c>
      <c r="AC78" s="4"/>
      <c r="AD78" s="4"/>
    </row>
    <row r="79" customFormat="false" ht="15" hidden="false" customHeight="false" outlineLevel="0" collapsed="false">
      <c r="A79" s="2" t="n">
        <v>43338</v>
      </c>
      <c r="B79" s="0" t="n">
        <f aca="false">ROUNDDOWN((A79-$B$2)/365,1)</f>
        <v>27.6</v>
      </c>
      <c r="C79" s="0" t="n">
        <v>73.8</v>
      </c>
      <c r="D79" s="0" t="n">
        <v>83.5</v>
      </c>
      <c r="E79" s="0" t="n">
        <v>90.5</v>
      </c>
      <c r="F79" s="0" t="n">
        <v>95</v>
      </c>
      <c r="G79" s="0" t="n">
        <v>35.8</v>
      </c>
      <c r="I79" s="0" t="n">
        <v>28</v>
      </c>
      <c r="J79" s="0" t="n">
        <v>31</v>
      </c>
      <c r="K79" s="0" t="n">
        <v>11</v>
      </c>
      <c r="L79" s="0" t="n">
        <v>14</v>
      </c>
      <c r="T79" s="4" t="n">
        <f aca="false">C79/(POWER($B$4/100,2))</f>
        <v>26.1479591836735</v>
      </c>
      <c r="U79" s="5" t="n">
        <f aca="false">((86.01*LOG10(E79-G79))-(70.041*LOG10($B$4))+30.3)/100</f>
        <v>0.239214025365773</v>
      </c>
      <c r="V79" s="5" t="n">
        <f aca="false">((495/(1.10938-0.0008267*(K79+J79+L79)+0.0000016*POWER((K79+J79+L79),2)-0.0002575*B79))-450)/100</f>
        <v>0.165430217699342</v>
      </c>
      <c r="W79" s="5" t="n">
        <f aca="false">((495/(1.099075-0.0008209*(K79+J79+L79)+0.0000026*POWER((K79+J79+L79),2)-0.0002017*B79-0.00005675*E79+0.000018586*I79))-450)/100</f>
        <v>0.20946047732905</v>
      </c>
      <c r="X79" s="5" t="n">
        <f aca="false">(0-98.42+4.15*E79/2.54-0.082*C79/0.4536)/(C79/0.45359)</f>
        <v>0.221895880045313</v>
      </c>
      <c r="Y79" s="4" t="n">
        <f aca="false">C79*W79</f>
        <v>15.4581832268839</v>
      </c>
      <c r="Z79" s="4" t="n">
        <f aca="false">C79-Y79</f>
        <v>58.3418167731161</v>
      </c>
      <c r="AA79" s="4" t="n">
        <f aca="false">Z79/POWER($B$4/100,2)</f>
        <v>20.6709951718807</v>
      </c>
      <c r="AB79" s="4" t="n">
        <f aca="false">AA79+6.1*(1.8-$B$4/100)</f>
        <v>21.4029951718807</v>
      </c>
      <c r="AC79" s="4"/>
      <c r="AD79" s="4"/>
    </row>
    <row r="80" customFormat="false" ht="15" hidden="false" customHeight="false" outlineLevel="0" collapsed="false">
      <c r="A80" s="2" t="n">
        <v>45019</v>
      </c>
      <c r="B80" s="0" t="n">
        <f aca="false">ROUNDDOWN((A80-$B$2)/365,1)</f>
        <v>32.2</v>
      </c>
      <c r="C80" s="0" t="n">
        <v>86</v>
      </c>
      <c r="E80" s="0" t="n">
        <v>103</v>
      </c>
      <c r="F80" s="0" t="n">
        <v>97</v>
      </c>
      <c r="G80" s="0" t="n">
        <v>37</v>
      </c>
      <c r="I80" s="0" t="n">
        <v>29.7</v>
      </c>
      <c r="J80" s="0" t="n">
        <v>55</v>
      </c>
      <c r="K80" s="0" t="n">
        <v>26</v>
      </c>
      <c r="L80" s="0" t="n">
        <v>22</v>
      </c>
      <c r="T80" s="4" t="n">
        <f aca="false">C80/(POWER($B$4/100,2))</f>
        <v>30.4705215419501</v>
      </c>
      <c r="U80" s="5" t="n">
        <f aca="false">((86.01*LOG10(E80-G80))-(70.041*LOG10($B$4))+30.3)/100</f>
        <v>0.30936086494595</v>
      </c>
      <c r="V80" s="5" t="n">
        <f aca="false">((495/(1.10938-0.0008267*(K80+J80+L80)+0.0000016*POWER((K80+J80+L80),2)-0.0002575*B80))-450)/100</f>
        <v>0.292272881118327</v>
      </c>
      <c r="W80" s="5" t="n">
        <f aca="false">((495/(1.099075-0.0008209*(K80+J80+L80)+0.0000026*POWER((K80+J80+L80),2)-0.0002017*B80-0.00005675*E80+0.000018586*I80))-450)/100</f>
        <v>0.304343293120485</v>
      </c>
      <c r="X80" s="5" t="n">
        <f aca="false">(0-98.42+4.15*E80/2.54-0.082*C80/0.4536)/(C80/0.45359)</f>
        <v>0.286503606368455</v>
      </c>
      <c r="Y80" s="4" t="n">
        <f aca="false">C80*W80</f>
        <v>26.1735232083617</v>
      </c>
      <c r="Z80" s="4" t="n">
        <f aca="false">C80-Y80</f>
        <v>59.8264767916383</v>
      </c>
      <c r="AA80" s="4" t="n">
        <f aca="false">Z80/POWER($B$4/100,2)</f>
        <v>21.1970226727743</v>
      </c>
      <c r="AB80" s="4" t="n">
        <f aca="false">AA80+6.1*(1.8-$B$4/100)</f>
        <v>21.9290226727743</v>
      </c>
      <c r="AC80" s="4"/>
      <c r="AD80" s="4"/>
    </row>
    <row r="81" customFormat="false" ht="15" hidden="false" customHeight="false" outlineLevel="0" collapsed="false">
      <c r="A81" s="2" t="n">
        <v>45105</v>
      </c>
      <c r="B81" s="0" t="n">
        <f aca="false">ROUNDDOWN((A81-$B$2)/365,1)</f>
        <v>32.5</v>
      </c>
      <c r="C81" s="0" t="n">
        <v>85.4</v>
      </c>
      <c r="E81" s="0" t="n">
        <v>102</v>
      </c>
      <c r="F81" s="0" t="n">
        <v>98</v>
      </c>
      <c r="G81" s="0" t="n">
        <v>37.9</v>
      </c>
      <c r="I81" s="0" t="n">
        <v>29.6</v>
      </c>
      <c r="J81" s="0" t="n">
        <v>54</v>
      </c>
      <c r="K81" s="0" t="n">
        <v>23</v>
      </c>
      <c r="L81" s="0" t="n">
        <v>22</v>
      </c>
      <c r="T81" s="4" t="n">
        <f aca="false">C81/(POWER($B$4/100,2))</f>
        <v>30.2579365079365</v>
      </c>
      <c r="U81" s="5" t="n">
        <f aca="false">((86.01*LOG10(E81-G81))-(70.041*LOG10($B$4))+30.3)/100</f>
        <v>0.298449717175524</v>
      </c>
      <c r="V81" s="5" t="n">
        <f aca="false">((495/(1.10938-0.0008267*(K81+J81+L81)+0.0000016*POWER((K81+J81+L81),2)-0.0002575*B81))-450)/100</f>
        <v>0.28330400781447</v>
      </c>
      <c r="W81" s="5" t="n">
        <f aca="false">((495/(1.099075-0.0008209*(K81+J81+L81)+0.0000026*POWER((K81+J81+L81),2)-0.0002017*B81-0.00005675*E81+0.000018586*I81))-450)/100</f>
        <v>0.298860392925826</v>
      </c>
      <c r="X81" s="5" t="n">
        <f aca="false">(0-98.42+4.15*E81/2.54-0.082*C81/0.4536)/(C81/0.45359)</f>
        <v>0.28041460528545</v>
      </c>
      <c r="Y81" s="4" t="n">
        <f aca="false">C81*W81</f>
        <v>25.5226775558655</v>
      </c>
      <c r="Z81" s="4" t="n">
        <f aca="false">C81-Y81</f>
        <v>59.8773224441345</v>
      </c>
      <c r="AA81" s="4" t="n">
        <f aca="false">Z81/POWER($B$4/100,2)</f>
        <v>21.2150377140499</v>
      </c>
      <c r="AB81" s="4" t="n">
        <f aca="false">AA81+6.1*(1.8-$B$4/100)</f>
        <v>21.9470377140499</v>
      </c>
      <c r="AC81" s="4"/>
      <c r="AD81" s="4"/>
    </row>
    <row r="82" customFormat="false" ht="15" hidden="false" customHeight="false" outlineLevel="0" collapsed="false">
      <c r="A82" s="2" t="n">
        <v>45153</v>
      </c>
      <c r="B82" s="0" t="n">
        <f aca="false">ROUNDDOWN((A82-$B$2)/365,1)</f>
        <v>32.6</v>
      </c>
      <c r="C82" s="0" t="n">
        <v>86.5</v>
      </c>
      <c r="E82" s="0" t="n">
        <v>103</v>
      </c>
      <c r="F82" s="0" t="n">
        <v>100</v>
      </c>
      <c r="G82" s="0" t="n">
        <v>37.7</v>
      </c>
      <c r="I82" s="0" t="n">
        <v>29.8</v>
      </c>
      <c r="J82" s="0" t="n">
        <v>53</v>
      </c>
      <c r="K82" s="0" t="n">
        <v>25</v>
      </c>
      <c r="L82" s="0" t="n">
        <v>20</v>
      </c>
      <c r="T82" s="4" t="n">
        <f aca="false">C82/(POWER($B$4/100,2))</f>
        <v>30.6476757369615</v>
      </c>
      <c r="U82" s="5" t="n">
        <f aca="false">((86.01*LOG10(E82-G82))-(70.041*LOG10($B$4))+30.3)/100</f>
        <v>0.30537795320108</v>
      </c>
      <c r="V82" s="5" t="n">
        <f aca="false">((495/(1.10938-0.0008267*(K82+J82+L82)+0.0000016*POWER((K82+J82+L82),2)-0.0002575*B82))-450)/100</f>
        <v>0.28105981704671</v>
      </c>
      <c r="W82" s="5" t="n">
        <f aca="false">((495/(1.099075-0.0008209*(K82+J82+L82)+0.0000026*POWER((K82+J82+L82),2)-0.0002017*B82-0.00005675*E82+0.000018586*I82))-450)/100</f>
        <v>0.297765031004135</v>
      </c>
      <c r="X82" s="5" t="n">
        <f aca="false">(0-98.42+4.15*E82/2.54-0.082*C82/0.4536)/(C82/0.45359)</f>
        <v>0.284373538168407</v>
      </c>
      <c r="Y82" s="4" t="n">
        <f aca="false">C82*W82</f>
        <v>25.7566751818577</v>
      </c>
      <c r="Z82" s="4" t="n">
        <f aca="false">C82-Y82</f>
        <v>60.7433248181423</v>
      </c>
      <c r="AA82" s="4" t="n">
        <f aca="false">Z82/POWER($B$4/100,2)</f>
        <v>21.5218696209405</v>
      </c>
      <c r="AB82" s="4" t="n">
        <f aca="false">AA82+6.1*(1.8-$B$4/100)</f>
        <v>22.2538696209405</v>
      </c>
      <c r="AC82" s="4"/>
      <c r="AD82" s="4"/>
    </row>
    <row r="83" customFormat="false" ht="15" hidden="false" customHeight="false" outlineLevel="0" collapsed="false">
      <c r="A83" s="2" t="n">
        <v>45291</v>
      </c>
      <c r="B83" s="0" t="n">
        <f aca="false">ROUNDDOWN((A83-$B$2)/365,1)</f>
        <v>33</v>
      </c>
      <c r="C83" s="0" t="n">
        <v>87.2</v>
      </c>
      <c r="E83" s="0" t="n">
        <v>103.5</v>
      </c>
      <c r="F83" s="0" t="n">
        <v>100.5</v>
      </c>
      <c r="G83" s="0" t="n">
        <v>37.9</v>
      </c>
      <c r="I83" s="0" t="n">
        <v>29.4</v>
      </c>
      <c r="J83" s="0" t="n">
        <v>53</v>
      </c>
      <c r="K83" s="0" t="n">
        <v>26</v>
      </c>
      <c r="L83" s="0" t="n">
        <v>20</v>
      </c>
      <c r="T83" s="4" t="n">
        <f aca="false">C83/(POWER($B$4/100,2))</f>
        <v>30.8956916099773</v>
      </c>
      <c r="U83" s="5" t="n">
        <f aca="false">((86.01*LOG10(E83-G83))-(70.041*LOG10($B$4))+30.3)/100</f>
        <v>0.307090118233394</v>
      </c>
      <c r="V83" s="5" t="n">
        <f aca="false">((495/(1.10938-0.0008267*(K83+J83+L83)+0.0000016*POWER((K83+J83+L83),2)-0.0002575*B83))-450)/100</f>
        <v>0.283899192903052</v>
      </c>
      <c r="W83" s="5" t="n">
        <f aca="false">((495/(1.099075-0.0008209*(K83+J83+L83)+0.0000026*POWER((K83+J83+L83),2)-0.0002017*B83-0.00005675*E83+0.000018586*I83))-450)/100</f>
        <v>0.299743067019224</v>
      </c>
      <c r="X83" s="5" t="n">
        <f aca="false">(0-98.42+4.15*E83/2.54-0.082*C83/0.4536)/(C83/0.45359)</f>
        <v>0.285681917463601</v>
      </c>
      <c r="Y83" s="4" t="n">
        <f aca="false">C83*W83</f>
        <v>26.1375954440763</v>
      </c>
      <c r="Z83" s="4" t="n">
        <f aca="false">C83-Y83</f>
        <v>61.0624045559237</v>
      </c>
      <c r="AA83" s="4" t="n">
        <f aca="false">Z83/POWER($B$4/100,2)</f>
        <v>21.6349222491226</v>
      </c>
      <c r="AB83" s="4" t="n">
        <f aca="false">AA83+6.1*(1.8-$B$4/100)</f>
        <v>22.3669222491226</v>
      </c>
      <c r="AC83" s="4"/>
      <c r="AD83" s="4"/>
    </row>
    <row r="84" customFormat="false" ht="15" hidden="false" customHeight="false" outlineLevel="0" collapsed="false">
      <c r="A84" s="2" t="n">
        <v>45308</v>
      </c>
      <c r="B84" s="0" t="n">
        <f aca="false">ROUNDDOWN((A84-$B$2)/365,1)</f>
        <v>33</v>
      </c>
      <c r="C84" s="0" t="n">
        <v>85.8</v>
      </c>
      <c r="E84" s="0" t="n">
        <v>105.5</v>
      </c>
      <c r="F84" s="0" t="n">
        <v>101.5</v>
      </c>
      <c r="G84" s="0" t="n">
        <v>37.5</v>
      </c>
      <c r="I84" s="0" t="n">
        <v>29.7</v>
      </c>
      <c r="J84" s="0" t="n">
        <v>54</v>
      </c>
      <c r="K84" s="0" t="n">
        <v>26</v>
      </c>
      <c r="L84" s="0" t="n">
        <v>19</v>
      </c>
      <c r="T84" s="4" t="n">
        <f aca="false">C84/(POWER($B$4/100,2))</f>
        <v>30.3996598639456</v>
      </c>
      <c r="U84" s="5" t="n">
        <f aca="false">((86.01*LOG10(E84-G84))-(70.041*LOG10($B$4))+30.3)/100</f>
        <v>0.320512041805022</v>
      </c>
      <c r="V84" s="5" t="n">
        <f aca="false">((495/(1.10938-0.0008267*(K84+J84+L84)+0.0000016*POWER((K84+J84+L84),2)-0.0002575*B84))-450)/100</f>
        <v>0.283899192903052</v>
      </c>
      <c r="W84" s="5" t="n">
        <f aca="false">((495/(1.099075-0.0008209*(K84+J84+L84)+0.0000026*POWER((K84+J84+L84),2)-0.0002017*B84-0.00005675*E84+0.000018586*I84))-450)/100</f>
        <v>0.300245403905834</v>
      </c>
      <c r="X84" s="5" t="n">
        <f aca="false">(0-98.42+4.15*E84/2.54-0.082*C84/0.4536)/(C84/0.45359)</f>
        <v>0.308956459385419</v>
      </c>
      <c r="Y84" s="4" t="n">
        <f aca="false">C84*W84</f>
        <v>25.7610556551206</v>
      </c>
      <c r="Z84" s="4" t="n">
        <f aca="false">C84-Y84</f>
        <v>60.0389443448794</v>
      </c>
      <c r="AA84" s="4" t="n">
        <f aca="false">Z84/POWER($B$4/100,2)</f>
        <v>21.2723017094953</v>
      </c>
      <c r="AB84" s="4" t="n">
        <f aca="false">AA84+6.1*(1.8-$B$4/100)</f>
        <v>22.0043017094953</v>
      </c>
      <c r="AC84" s="4" t="n">
        <f aca="false">$Z$84-Z84</f>
        <v>0</v>
      </c>
      <c r="AD84" s="4" t="n">
        <f aca="false">$Y$84-Y84</f>
        <v>0</v>
      </c>
    </row>
    <row r="85" customFormat="false" ht="15" hidden="false" customHeight="false" outlineLevel="0" collapsed="false">
      <c r="A85" s="2" t="n">
        <v>45316</v>
      </c>
      <c r="B85" s="0" t="n">
        <f aca="false">ROUNDDOWN((A85-$B$2)/365,1)</f>
        <v>33.1</v>
      </c>
      <c r="C85" s="0" t="n">
        <v>85.3</v>
      </c>
      <c r="E85" s="0" t="n">
        <v>103</v>
      </c>
      <c r="F85" s="0" t="n">
        <v>101.5</v>
      </c>
      <c r="G85" s="0" t="n">
        <v>38</v>
      </c>
      <c r="I85" s="0" t="n">
        <v>29.2</v>
      </c>
      <c r="J85" s="0" t="n">
        <v>51</v>
      </c>
      <c r="K85" s="0" t="n">
        <v>26</v>
      </c>
      <c r="L85" s="0" t="n">
        <v>17</v>
      </c>
      <c r="T85" s="4" t="n">
        <f aca="false">C85/(POWER($B$4/100,2))</f>
        <v>30.2225056689342</v>
      </c>
      <c r="U85" s="5" t="n">
        <f aca="false">((86.01*LOG10(E85-G85))-(70.041*LOG10($B$4))+30.3)/100</f>
        <v>0.303657904034909</v>
      </c>
      <c r="V85" s="5" t="n">
        <f aca="false">((495/(1.10938-0.0008267*(K85+J85+L85)+0.0000016*POWER((K85+J85+L85),2)-0.0002575*B85))-450)/100</f>
        <v>0.272075319159049</v>
      </c>
      <c r="W85" s="5" t="n">
        <f aca="false">((495/(1.099075-0.0008209*(K85+J85+L85)+0.0000026*POWER((K85+J85+L85),2)-0.0002017*B85-0.00005675*E85+0.000018586*I85))-450)/100</f>
        <v>0.292308182950682</v>
      </c>
      <c r="X85" s="5" t="n">
        <f aca="false">(0-98.42+4.15*E85/2.54-0.082*C85/0.4536)/(C85/0.45359)</f>
        <v>0.289527653953752</v>
      </c>
      <c r="Y85" s="4" t="n">
        <f aca="false">C85*W85</f>
        <v>24.9338880056932</v>
      </c>
      <c r="Z85" s="4" t="n">
        <f aca="false">C85-Y85</f>
        <v>60.3661119943068</v>
      </c>
      <c r="AA85" s="4" t="n">
        <f aca="false">Z85/POWER($B$4/100,2)</f>
        <v>21.3882199526314</v>
      </c>
      <c r="AB85" s="4" t="n">
        <f aca="false">AA85+6.1*(1.8-$B$4/100)</f>
        <v>22.1202199526314</v>
      </c>
      <c r="AC85" s="4" t="n">
        <f aca="false">$Z$84-Z85</f>
        <v>-0.327167649427373</v>
      </c>
      <c r="AD85" s="4" t="n">
        <f aca="false">$Y$84-Y85</f>
        <v>0.827167649427377</v>
      </c>
    </row>
    <row r="86" customFormat="false" ht="15" hidden="false" customHeight="false" outlineLevel="0" collapsed="false">
      <c r="A86" s="2" t="n">
        <v>45323</v>
      </c>
      <c r="B86" s="0" t="n">
        <f aca="false">ROUNDDOWN((A86-$B$2)/365,1)</f>
        <v>33.1</v>
      </c>
      <c r="C86" s="0" t="n">
        <v>84.7</v>
      </c>
      <c r="E86" s="0" t="n">
        <v>102.5</v>
      </c>
      <c r="F86" s="0" t="n">
        <v>101.6</v>
      </c>
      <c r="G86" s="0" t="n">
        <v>38</v>
      </c>
      <c r="I86" s="0" t="n">
        <v>29.4</v>
      </c>
      <c r="J86" s="0" t="n">
        <v>52</v>
      </c>
      <c r="K86" s="0" t="n">
        <v>24</v>
      </c>
      <c r="L86" s="0" t="n">
        <v>17</v>
      </c>
      <c r="T86" s="4" t="n">
        <f aca="false">C86/(POWER($B$4/100,2))</f>
        <v>30.0099206349206</v>
      </c>
      <c r="U86" s="5" t="n">
        <f aca="false">((86.01*LOG10(E86-G86))-(70.041*LOG10($B$4))+30.3)/100</f>
        <v>0.300773436544183</v>
      </c>
      <c r="V86" s="5" t="n">
        <f aca="false">((495/(1.10938-0.0008267*(K86+J86+L86)+0.0000016*POWER((K86+J86+L86),2)-0.0002575*B86))-450)/100</f>
        <v>0.269649764617785</v>
      </c>
      <c r="W86" s="5" t="n">
        <f aca="false">((495/(1.099075-0.0008209*(K86+J86+L86)+0.0000026*POWER((K86+J86+L86),2)-0.0002017*B86-0.00005675*E86+0.000018586*I86))-450)/100</f>
        <v>0.290607003309948</v>
      </c>
      <c r="X86" s="5" t="n">
        <f aca="false">(0-98.42+4.15*E86/2.54-0.082*C86/0.4536)/(C86/0.45359)</f>
        <v>0.287784615251147</v>
      </c>
      <c r="Y86" s="4" t="n">
        <f aca="false">C86*W86</f>
        <v>24.6144131803526</v>
      </c>
      <c r="Z86" s="4" t="n">
        <f aca="false">C86-Y86</f>
        <v>60.0855868196474</v>
      </c>
      <c r="AA86" s="4" t="n">
        <f aca="false">Z86/POWER($B$4/100,2)</f>
        <v>21.288827529637</v>
      </c>
      <c r="AB86" s="4" t="n">
        <f aca="false">AA86+6.1*(1.8-$B$4/100)</f>
        <v>22.020827529637</v>
      </c>
      <c r="AC86" s="4" t="n">
        <f aca="false">$Z$84-Z86</f>
        <v>-0.0466424747679781</v>
      </c>
      <c r="AD86" s="4" t="n">
        <f aca="false">$Y$84-Y86</f>
        <v>1.14664247476797</v>
      </c>
    </row>
    <row r="87" customFormat="false" ht="15" hidden="false" customHeight="false" outlineLevel="0" collapsed="false">
      <c r="A87" s="2" t="n">
        <v>45327</v>
      </c>
      <c r="B87" s="0" t="n">
        <f aca="false">ROUNDDOWN((A87-$B$2)/365,1)</f>
        <v>33.1</v>
      </c>
      <c r="C87" s="0" t="n">
        <v>83.3</v>
      </c>
      <c r="E87" s="0" t="n">
        <v>102.2</v>
      </c>
      <c r="F87" s="0" t="n">
        <v>101</v>
      </c>
      <c r="G87" s="0" t="n">
        <v>37.6</v>
      </c>
      <c r="I87" s="0" t="n">
        <v>29</v>
      </c>
      <c r="J87" s="0" t="n">
        <v>51</v>
      </c>
      <c r="K87" s="0" t="n">
        <v>26</v>
      </c>
      <c r="L87" s="0" t="n">
        <v>17</v>
      </c>
      <c r="T87" s="4" t="n">
        <f aca="false">C87/(POWER($B$4/100,2))</f>
        <v>29.5138888888889</v>
      </c>
      <c r="U87" s="5" t="n">
        <f aca="false">((86.01*LOG10(E87-G87))-(70.041*LOG10($B$4))+30.3)/100</f>
        <v>0.30135211471396</v>
      </c>
      <c r="V87" s="5" t="n">
        <f aca="false">((495/(1.10938-0.0008267*(K87+J87+L87)+0.0000016*POWER((K87+J87+L87),2)-0.0002575*B87))-450)/100</f>
        <v>0.272075319159049</v>
      </c>
      <c r="W87" s="5" t="n">
        <f aca="false">((495/(1.099075-0.0008209*(K87+J87+L87)+0.0000026*POWER((K87+J87+L87),2)-0.0002017*B87-0.00005675*E87+0.000018586*I87))-450)/100</f>
        <v>0.292114797570896</v>
      </c>
      <c r="X87" s="5" t="n">
        <f aca="false">(0-98.42+4.15*E87/2.54-0.082*C87/0.4536)/(C87/0.45359)</f>
        <v>0.291330418360287</v>
      </c>
      <c r="Y87" s="4" t="n">
        <f aca="false">C87*W87</f>
        <v>24.3331626376556</v>
      </c>
      <c r="Z87" s="4" t="n">
        <f aca="false">C87-Y87</f>
        <v>58.9668373623444</v>
      </c>
      <c r="AA87" s="4" t="n">
        <f aca="false">Z87/POWER($B$4/100,2)</f>
        <v>20.8924452105812</v>
      </c>
      <c r="AB87" s="4" t="n">
        <f aca="false">AA87+6.1*(1.8-$B$4/100)</f>
        <v>21.6244452105812</v>
      </c>
      <c r="AC87" s="4" t="n">
        <f aca="false">$Z$84-Z87</f>
        <v>1.07210698253507</v>
      </c>
      <c r="AD87" s="4" t="n">
        <f aca="false">$Y$84-Y87</f>
        <v>1.42789301746494</v>
      </c>
    </row>
    <row r="88" customFormat="false" ht="15" hidden="false" customHeight="false" outlineLevel="0" collapsed="false">
      <c r="A88" s="2" t="n">
        <v>45331</v>
      </c>
      <c r="B88" s="0" t="n">
        <f aca="false">ROUNDDOWN((A88-$B$2)/365,1)</f>
        <v>33.1</v>
      </c>
      <c r="C88" s="0" t="n">
        <v>83.6</v>
      </c>
      <c r="E88" s="0" t="n">
        <v>101</v>
      </c>
      <c r="F88" s="0" t="n">
        <v>100.6</v>
      </c>
      <c r="G88" s="0" t="n">
        <v>37.4</v>
      </c>
      <c r="I88" s="0" t="n">
        <v>29.4</v>
      </c>
      <c r="J88" s="0" t="n">
        <v>51</v>
      </c>
      <c r="K88" s="0" t="n">
        <v>24</v>
      </c>
      <c r="L88" s="0" t="n">
        <v>16</v>
      </c>
      <c r="T88" s="4" t="n">
        <f aca="false">C88/(POWER($B$4/100,2))</f>
        <v>29.6201814058957</v>
      </c>
      <c r="U88" s="5" t="n">
        <f aca="false">((86.01*LOG10(E88-G88))-(70.041*LOG10($B$4))+30.3)/100</f>
        <v>0.295524591155589</v>
      </c>
      <c r="V88" s="5" t="n">
        <f aca="false">((495/(1.10938-0.0008267*(K88+J88+L88)+0.0000016*POWER((K88+J88+L88),2)-0.0002575*B88))-450)/100</f>
        <v>0.264762014816677</v>
      </c>
      <c r="W88" s="5" t="n">
        <f aca="false">((495/(1.099075-0.0008209*(K88+J88+L88)+0.0000026*POWER((K88+J88+L88),2)-0.0002017*B88-0.00005675*E88+0.000018586*I88))-450)/100</f>
        <v>0.28703909617304</v>
      </c>
      <c r="X88" s="5" t="n">
        <f aca="false">(0-98.42+4.15*E88/2.54-0.082*C88/0.4536)/(C88/0.45359)</f>
        <v>0.279352897915738</v>
      </c>
      <c r="Y88" s="4" t="n">
        <f aca="false">C88*W88</f>
        <v>23.9964684400661</v>
      </c>
      <c r="Z88" s="4" t="n">
        <f aca="false">C88-Y88</f>
        <v>59.6035315599339</v>
      </c>
      <c r="AA88" s="4" t="n">
        <f aca="false">Z88/POWER($B$4/100,2)</f>
        <v>21.1180313066659</v>
      </c>
      <c r="AB88" s="4" t="n">
        <f aca="false">AA88+6.1*(1.8-$B$4/100)</f>
        <v>21.8500313066659</v>
      </c>
      <c r="AC88" s="4" t="n">
        <f aca="false">$Z$84-Z88</f>
        <v>0.435412784945548</v>
      </c>
      <c r="AD88" s="4" t="n">
        <f aca="false">$Y$84-Y88</f>
        <v>1.76458721505445</v>
      </c>
    </row>
    <row r="89" customFormat="false" ht="15" hidden="false" customHeight="false" outlineLevel="0" collapsed="false">
      <c r="A89" s="2" t="n">
        <v>45336</v>
      </c>
      <c r="B89" s="0" t="n">
        <f aca="false">ROUNDDOWN((A89-$B$2)/365,1)</f>
        <v>33.1</v>
      </c>
      <c r="C89" s="0" t="n">
        <v>84</v>
      </c>
      <c r="E89" s="0" t="n">
        <v>103</v>
      </c>
      <c r="F89" s="0" t="n">
        <v>101.4</v>
      </c>
      <c r="G89" s="0" t="n">
        <v>38</v>
      </c>
      <c r="I89" s="0" t="n">
        <v>29</v>
      </c>
      <c r="J89" s="0" t="n">
        <v>52</v>
      </c>
      <c r="K89" s="0" t="n">
        <v>24</v>
      </c>
      <c r="L89" s="0" t="n">
        <v>16</v>
      </c>
      <c r="T89" s="4" t="n">
        <f aca="false">C89/(POWER($B$4/100,2))</f>
        <v>29.7619047619048</v>
      </c>
      <c r="U89" s="5" t="n">
        <f aca="false">((86.01*LOG10(E89-G89))-(70.041*LOG10($B$4))+30.3)/100</f>
        <v>0.303657904034909</v>
      </c>
      <c r="V89" s="5" t="n">
        <f aca="false">((495/(1.10938-0.0008267*(K89+J89+L89)+0.0000016*POWER((K89+J89+L89),2)-0.0002575*B89))-450)/100</f>
        <v>0.267211982748471</v>
      </c>
      <c r="W89" s="5" t="n">
        <f aca="false">((495/(1.099075-0.0008209*(K89+J89+L89)+0.0000026*POWER((K89+J89+L89),2)-0.0002017*B89-0.00005675*E89+0.000018586*I89))-450)/100</f>
        <v>0.289197548704092</v>
      </c>
      <c r="X89" s="5" t="n">
        <f aca="false">(0-98.42+4.15*E89/2.54-0.082*C89/0.4536)/(C89/0.45359)</f>
        <v>0.295277458716272</v>
      </c>
      <c r="Y89" s="4" t="n">
        <f aca="false">C89*W89</f>
        <v>24.2925940911437</v>
      </c>
      <c r="Z89" s="4" t="n">
        <f aca="false">C89-Y89</f>
        <v>59.7074059088563</v>
      </c>
      <c r="AA89" s="4" t="n">
        <f aca="false">Z89/POWER($B$4/100,2)</f>
        <v>21.1548348599973</v>
      </c>
      <c r="AB89" s="4" t="n">
        <f aca="false">AA89+6.1*(1.8-$B$4/100)</f>
        <v>21.8868348599973</v>
      </c>
      <c r="AC89" s="4" t="n">
        <f aca="false">$Z$84-Z89</f>
        <v>0.331538436023145</v>
      </c>
      <c r="AD89" s="4" t="n">
        <f aca="false">$Y$84-Y89</f>
        <v>1.46846156397685</v>
      </c>
    </row>
    <row r="90" customFormat="false" ht="15" hidden="false" customHeight="false" outlineLevel="0" collapsed="false">
      <c r="A90" s="2" t="n">
        <v>45342</v>
      </c>
      <c r="B90" s="0" t="n">
        <f aca="false">ROUNDDOWN((A90-$B$2)/365,1)</f>
        <v>33.1</v>
      </c>
      <c r="C90" s="0" t="n">
        <v>83</v>
      </c>
      <c r="E90" s="0" t="n">
        <v>100.5</v>
      </c>
      <c r="F90" s="0" t="n">
        <v>100.5</v>
      </c>
      <c r="G90" s="0" t="n">
        <v>37.4</v>
      </c>
      <c r="I90" s="0" t="n">
        <v>28.9</v>
      </c>
      <c r="J90" s="0" t="n">
        <v>52</v>
      </c>
      <c r="K90" s="0" t="n">
        <v>24</v>
      </c>
      <c r="L90" s="0" t="n">
        <v>16</v>
      </c>
      <c r="T90" s="4" t="n">
        <f aca="false">C90/(POWER($B$4/100,2))</f>
        <v>29.4075963718821</v>
      </c>
      <c r="U90" s="5" t="n">
        <f aca="false">((86.01*LOG10(E90-G90))-(70.041*LOG10($B$4))+30.3)/100</f>
        <v>0.292576377872268</v>
      </c>
      <c r="V90" s="5" t="n">
        <f aca="false">((495/(1.10938-0.0008267*(K90+J90+L90)+0.0000016*POWER((K90+J90+L90),2)-0.0002575*B90))-450)/100</f>
        <v>0.267211982748471</v>
      </c>
      <c r="W90" s="5" t="n">
        <f aca="false">((495/(1.099075-0.0008209*(K90+J90+L90)+0.0000026*POWER((K90+J90+L90),2)-0.0002017*B90-0.00005675*E90+0.000018586*I90))-450)/100</f>
        <v>0.288548853955228</v>
      </c>
      <c r="X90" s="5" t="n">
        <f aca="false">(0-98.42+4.15*E90/2.54-0.082*C90/0.4536)/(C90/0.45359)</f>
        <v>0.277500605967142</v>
      </c>
      <c r="Y90" s="4" t="n">
        <f aca="false">C90*W90</f>
        <v>23.9495548782839</v>
      </c>
      <c r="Z90" s="4" t="n">
        <f aca="false">C90-Y90</f>
        <v>59.0504451217161</v>
      </c>
      <c r="AA90" s="4" t="n">
        <f aca="false">Z90/POWER($B$4/100,2)</f>
        <v>20.9220681411976</v>
      </c>
      <c r="AB90" s="4" t="n">
        <f aca="false">AA90+6.1*(1.8-$B$4/100)</f>
        <v>21.6540681411976</v>
      </c>
      <c r="AC90" s="4" t="n">
        <f aca="false">$Z$84-Z90</f>
        <v>0.988499223163338</v>
      </c>
      <c r="AD90" s="4" t="n">
        <f aca="false">$Y$84-Y90</f>
        <v>1.81150077683666</v>
      </c>
    </row>
    <row r="91" customFormat="false" ht="15" hidden="false" customHeight="false" outlineLevel="0" collapsed="false">
      <c r="A91" s="2" t="n">
        <v>45348</v>
      </c>
      <c r="B91" s="0" t="n">
        <f aca="false">ROUNDDOWN((A91-$B$2)/365,1)</f>
        <v>33.1</v>
      </c>
      <c r="C91" s="0" t="n">
        <v>83.1</v>
      </c>
      <c r="E91" s="0" t="n">
        <v>102</v>
      </c>
      <c r="F91" s="0" t="n">
        <v>101</v>
      </c>
      <c r="G91" s="0" t="n">
        <v>38</v>
      </c>
      <c r="I91" s="0" t="n">
        <v>28.8</v>
      </c>
      <c r="J91" s="0" t="n">
        <v>51</v>
      </c>
      <c r="K91" s="0" t="n">
        <v>23</v>
      </c>
      <c r="L91" s="0" t="n">
        <v>17</v>
      </c>
      <c r="T91" s="4" t="n">
        <f aca="false">C91/(POWER($B$4/100,2))</f>
        <v>29.4430272108844</v>
      </c>
      <c r="U91" s="5" t="n">
        <f aca="false">((86.01*LOG10(E91-G91))-(70.041*LOG10($B$4))+30.3)/100</f>
        <v>0.29786652160993</v>
      </c>
      <c r="V91" s="5" t="n">
        <f aca="false">((495/(1.10938-0.0008267*(K91+J91+L91)+0.0000016*POWER((K91+J91+L91),2)-0.0002575*B91))-450)/100</f>
        <v>0.264762014816677</v>
      </c>
      <c r="W91" s="5" t="n">
        <f aca="false">((495/(1.099075-0.0008209*(K91+J91+L91)+0.0000026*POWER((K91+J91+L91),2)-0.0002017*B91-0.00005675*E91+0.000018586*I91))-450)/100</f>
        <v>0.287353463409432</v>
      </c>
      <c r="X91" s="5" t="n">
        <f aca="false">(0-98.42+4.15*E91/2.54-0.082*C91/0.4536)/(C91/0.45359)</f>
        <v>0.290445284398666</v>
      </c>
      <c r="Y91" s="4" t="n">
        <f aca="false">C91*W91</f>
        <v>23.8790728093238</v>
      </c>
      <c r="Z91" s="4" t="n">
        <f aca="false">C91-Y91</f>
        <v>59.2209271906762</v>
      </c>
      <c r="AA91" s="4" t="n">
        <f aca="false">Z91/POWER($B$4/100,2)</f>
        <v>20.9824713685786</v>
      </c>
      <c r="AB91" s="4" t="n">
        <f aca="false">AA91+6.1*(1.8-$B$4/100)</f>
        <v>21.7144713685786</v>
      </c>
      <c r="AC91" s="4" t="n">
        <f aca="false">$Z$84-Z91</f>
        <v>0.818017154203218</v>
      </c>
      <c r="AD91" s="4" t="n">
        <f aca="false">$Y$84-Y91</f>
        <v>1.88198284579678</v>
      </c>
    </row>
    <row r="92" customFormat="false" ht="15" hidden="false" customHeight="false" outlineLevel="0" collapsed="false">
      <c r="A92" s="2" t="n">
        <v>45369</v>
      </c>
      <c r="B92" s="0" t="n">
        <f aca="false">ROUNDDOWN((A92-$B$2)/365,1)</f>
        <v>33.2</v>
      </c>
      <c r="C92" s="0" t="n">
        <v>82.3</v>
      </c>
      <c r="E92" s="0" t="n">
        <v>100.3</v>
      </c>
      <c r="F92" s="0" t="n">
        <v>101</v>
      </c>
      <c r="G92" s="0" t="n">
        <v>37.6</v>
      </c>
      <c r="I92" s="0" t="n">
        <v>28.8</v>
      </c>
      <c r="J92" s="0" t="n">
        <v>50</v>
      </c>
      <c r="K92" s="0" t="n">
        <v>23</v>
      </c>
      <c r="L92" s="0" t="n">
        <v>16</v>
      </c>
      <c r="T92" s="4" t="n">
        <f aca="false">C92/(POWER($B$4/100,2))</f>
        <v>29.1595804988662</v>
      </c>
      <c r="U92" s="5" t="n">
        <f aca="false">((86.01*LOG10(E92-G92))-(70.041*LOG10($B$4))+30.3)/100</f>
        <v>0.290200937854888</v>
      </c>
      <c r="V92" s="5" t="n">
        <f aca="false">((495/(1.10938-0.0008267*(K92+J92+L92)+0.0000016*POWER((K92+J92+L92),2)-0.0002575*B92))-450)/100</f>
        <v>0.259943546107938</v>
      </c>
      <c r="W92" s="5" t="n">
        <f aca="false">((495/(1.099075-0.0008209*(K92+J92+L92)+0.0000026*POWER((K92+J92+L92),2)-0.0002017*B92-0.00005675*E92+0.000018586*I92))-450)/100</f>
        <v>0.283735014275272</v>
      </c>
      <c r="X92" s="5" t="n">
        <f aca="false">(0-98.42+4.15*E92/2.54-0.082*C92/0.4536)/(C92/0.45359)</f>
        <v>0.278757335060875</v>
      </c>
      <c r="Y92" s="4" t="n">
        <f aca="false">C92*W92</f>
        <v>23.3513916748549</v>
      </c>
      <c r="Z92" s="4" t="n">
        <f aca="false">C92-Y92</f>
        <v>58.9486083251451</v>
      </c>
      <c r="AA92" s="4" t="n">
        <f aca="false">Z92/POWER($B$4/100,2)</f>
        <v>20.8859865097595</v>
      </c>
      <c r="AB92" s="4" t="n">
        <f aca="false">AA92+6.1*(1.8-$B$4/100)</f>
        <v>21.6179865097595</v>
      </c>
      <c r="AC92" s="4" t="n">
        <f aca="false">$Z$84-Z92</f>
        <v>1.0903360197343</v>
      </c>
      <c r="AD92" s="4" t="n">
        <f aca="false">$Y$84-Y92</f>
        <v>2.4096639802657</v>
      </c>
    </row>
    <row r="93" customFormat="false" ht="15" hidden="false" customHeight="false" outlineLevel="0" collapsed="false">
      <c r="A93" s="2" t="n">
        <v>45379</v>
      </c>
      <c r="B93" s="0" t="n">
        <f aca="false">ROUNDDOWN((A93-$B$2)/365,1)</f>
        <v>33.2</v>
      </c>
      <c r="C93" s="0" t="n">
        <v>82.1</v>
      </c>
      <c r="E93" s="0" t="n">
        <v>99</v>
      </c>
      <c r="F93" s="0" t="n">
        <v>99.5</v>
      </c>
      <c r="G93" s="0" t="n">
        <v>39.5</v>
      </c>
      <c r="I93" s="0" t="n">
        <v>29.1</v>
      </c>
      <c r="J93" s="0" t="n">
        <v>49</v>
      </c>
      <c r="K93" s="0" t="n">
        <v>24</v>
      </c>
      <c r="L93" s="0" t="n">
        <v>15</v>
      </c>
      <c r="T93" s="4" t="n">
        <f aca="false">C93/(POWER($B$4/100,2))</f>
        <v>29.0887188208617</v>
      </c>
      <c r="U93" s="5" t="n">
        <f aca="false">((86.01*LOG10(E93-G93))-(70.041*LOG10($B$4))+30.3)/100</f>
        <v>0.270633168209514</v>
      </c>
      <c r="V93" s="5" t="n">
        <f aca="false">((495/(1.10938-0.0008267*(K93+J93+L93)+0.0000016*POWER((K93+J93+L93),2)-0.0002575*B93))-450)/100</f>
        <v>0.257457145883243</v>
      </c>
      <c r="W93" s="5" t="n">
        <f aca="false">((495/(1.099075-0.0008209*(K93+J93+L93)+0.0000026*POWER((K93+J93+L93),2)-0.0002017*B93-0.00005675*E93+0.000018586*I93))-450)/100</f>
        <v>0.281701500155561</v>
      </c>
      <c r="X93" s="5" t="n">
        <f aca="false">(0-98.42+4.15*E93/2.54-0.082*C93/0.4536)/(C93/0.45359)</f>
        <v>0.267901291240053</v>
      </c>
      <c r="Y93" s="4" t="n">
        <f aca="false">C93*W93</f>
        <v>23.1276931627715</v>
      </c>
      <c r="Z93" s="4" t="n">
        <f aca="false">C93-Y93</f>
        <v>58.9723068372284</v>
      </c>
      <c r="AA93" s="4" t="n">
        <f aca="false">Z93/POWER($B$4/100,2)</f>
        <v>20.8943830914216</v>
      </c>
      <c r="AB93" s="4" t="n">
        <f aca="false">AA93+6.1*(1.8-$B$4/100)</f>
        <v>21.6263830914216</v>
      </c>
      <c r="AC93" s="4" t="n">
        <f aca="false">$Z$84-Z93</f>
        <v>1.06663750765099</v>
      </c>
      <c r="AD93" s="4" t="n">
        <f aca="false">$Y$84-Y93</f>
        <v>2.63336249234902</v>
      </c>
    </row>
    <row r="94" customFormat="false" ht="15" hidden="false" customHeight="false" outlineLevel="0" collapsed="false">
      <c r="A94" s="2" t="n">
        <v>45390</v>
      </c>
      <c r="B94" s="0" t="n">
        <f aca="false">ROUNDDOWN((A94-$B$2)/365,1)</f>
        <v>33.3</v>
      </c>
      <c r="C94" s="0" t="n">
        <v>81.2</v>
      </c>
      <c r="E94" s="0" t="n">
        <v>100</v>
      </c>
      <c r="F94" s="0" t="n">
        <v>100.5</v>
      </c>
      <c r="G94" s="0" t="n">
        <v>37.6</v>
      </c>
      <c r="I94" s="0" t="n">
        <v>28.7</v>
      </c>
      <c r="J94" s="0" t="n">
        <v>48</v>
      </c>
      <c r="K94" s="0" t="n">
        <v>22</v>
      </c>
      <c r="L94" s="0" t="n">
        <v>15</v>
      </c>
      <c r="T94" s="4" t="n">
        <f aca="false">C94/(POWER($B$4/100,2))</f>
        <v>28.7698412698413</v>
      </c>
      <c r="U94" s="5" t="n">
        <f aca="false">((86.01*LOG10(E94-G94))-(70.041*LOG10($B$4))+30.3)/100</f>
        <v>0.288409391572241</v>
      </c>
      <c r="V94" s="5" t="n">
        <f aca="false">((495/(1.10938-0.0008267*(K94+J94+L94)+0.0000016*POWER((K94+J94+L94),2)-0.0002575*B94))-450)/100</f>
        <v>0.250043362138268</v>
      </c>
      <c r="W94" s="5" t="n">
        <f aca="false">((495/(1.099075-0.0008209*(K94+J94+L94)+0.0000026*POWER((K94+J94+L94),2)-0.0002017*B94-0.00005675*E94+0.000018586*I94))-450)/100</f>
        <v>0.276953391148606</v>
      </c>
      <c r="X94" s="5" t="n">
        <f aca="false">(0-98.42+4.15*E94/2.54-0.082*C94/0.4536)/(C94/0.45359)</f>
        <v>0.280906356594554</v>
      </c>
      <c r="Y94" s="4" t="n">
        <f aca="false">C94*W94</f>
        <v>22.4886153612668</v>
      </c>
      <c r="Z94" s="4" t="n">
        <f aca="false">C94-Y94</f>
        <v>58.7113846387332</v>
      </c>
      <c r="AA94" s="4" t="n">
        <f aca="false">Z94/POWER($B$4/100,2)</f>
        <v>20.8019361673516</v>
      </c>
      <c r="AB94" s="4" t="n">
        <f aca="false">AA94+6.1*(1.8-$B$4/100)</f>
        <v>21.5339361673516</v>
      </c>
      <c r="AC94" s="4" t="n">
        <f aca="false">$Z$84-Z94</f>
        <v>1.32755970614623</v>
      </c>
      <c r="AD94" s="4" t="n">
        <f aca="false">$Y$84-Y94</f>
        <v>3.27244029385377</v>
      </c>
    </row>
    <row r="95" customFormat="false" ht="15" hidden="false" customHeight="false" outlineLevel="0" collapsed="false">
      <c r="A95" s="2" t="n">
        <v>45408</v>
      </c>
      <c r="B95" s="0" t="n">
        <f aca="false">ROUNDDOWN((A95-$B$2)/365,1)</f>
        <v>33.3</v>
      </c>
      <c r="C95" s="0" t="n">
        <v>82.1</v>
      </c>
      <c r="E95" s="0" t="n">
        <v>100</v>
      </c>
      <c r="F95" s="0" t="n">
        <v>99.5</v>
      </c>
      <c r="G95" s="0" t="n">
        <v>37.3</v>
      </c>
      <c r="I95" s="0" t="n">
        <v>28.9</v>
      </c>
      <c r="J95" s="0" t="n">
        <v>50</v>
      </c>
      <c r="K95" s="0" t="n">
        <v>20</v>
      </c>
      <c r="L95" s="0" t="n">
        <v>15</v>
      </c>
      <c r="T95" s="4" t="n">
        <f aca="false">C95/(POWER($B$4/100,2))</f>
        <v>29.0887188208617</v>
      </c>
      <c r="U95" s="5" t="n">
        <f aca="false">((86.01*LOG10(E95-G95))-(70.041*LOG10($B$4))+30.3)/100</f>
        <v>0.290200937854888</v>
      </c>
      <c r="V95" s="5" t="n">
        <f aca="false">((495/(1.10938-0.0008267*(K95+J95+L95)+0.0000016*POWER((K95+J95+L95),2)-0.0002575*B95))-450)/100</f>
        <v>0.250043362138268</v>
      </c>
      <c r="W95" s="5" t="n">
        <f aca="false">((495/(1.099075-0.0008209*(K95+J95+L95)+0.0000026*POWER((K95+J95+L95),2)-0.0002017*B95-0.00005675*E95+0.000018586*I95))-450)/100</f>
        <v>0.276936255080507</v>
      </c>
      <c r="X95" s="5" t="n">
        <f aca="false">(0-98.42+4.15*E95/2.54-0.082*C95/0.4536)/(C95/0.45359)</f>
        <v>0.276928109408793</v>
      </c>
      <c r="Y95" s="4" t="n">
        <f aca="false">C95*W95</f>
        <v>22.7364665421096</v>
      </c>
      <c r="Z95" s="4" t="n">
        <f aca="false">C95-Y95</f>
        <v>59.3635334578904</v>
      </c>
      <c r="AA95" s="4" t="n">
        <f aca="false">Z95/POWER($B$4/100,2)</f>
        <v>21.0329979655224</v>
      </c>
      <c r="AB95" s="4" t="n">
        <f aca="false">AA95+6.1*(1.8-$B$4/100)</f>
        <v>21.7649979655224</v>
      </c>
      <c r="AC95" s="4" t="n">
        <f aca="false">$Z$84-Z95</f>
        <v>0.675410886989035</v>
      </c>
      <c r="AD95" s="4" t="n">
        <f aca="false">$Y$84-Y95</f>
        <v>3.02458911301097</v>
      </c>
    </row>
    <row r="96" customFormat="false" ht="15" hidden="false" customHeight="false" outlineLevel="0" collapsed="false">
      <c r="A96" s="2" t="n">
        <v>45435</v>
      </c>
      <c r="B96" s="0" t="n">
        <f aca="false">ROUNDDOWN((A96-$B$2)/365,1)</f>
        <v>33.4</v>
      </c>
      <c r="C96" s="0" t="n">
        <v>80.9</v>
      </c>
      <c r="E96" s="0" t="n">
        <v>99</v>
      </c>
      <c r="G96" s="0" t="n">
        <v>37.6</v>
      </c>
      <c r="I96" s="0" t="n">
        <v>29</v>
      </c>
      <c r="J96" s="0" t="n">
        <v>49</v>
      </c>
      <c r="K96" s="0" t="n">
        <v>21</v>
      </c>
      <c r="L96" s="0" t="n">
        <v>14.8</v>
      </c>
      <c r="T96" s="4" t="n">
        <f aca="false">C96/(POWER($B$4/100,2))</f>
        <v>28.6635487528345</v>
      </c>
      <c r="U96" s="5" t="n">
        <f aca="false">((86.01*LOG10(E96-G96))-(70.041*LOG10($B$4))+30.3)/100</f>
        <v>0.282374742004907</v>
      </c>
      <c r="V96" s="5" t="n">
        <f aca="false">((495/(1.10938-0.0008267*(K96+J96+L96)+0.0000016*POWER((K96+J96+L96),2)-0.0002575*B96))-450)/100</f>
        <v>0.249654792211124</v>
      </c>
      <c r="W96" s="5" t="n">
        <f aca="false">((495/(1.099075-0.0008209*(K96+J96+L96)+0.0000026*POWER((K96+J96+L96),2)-0.0002017*B96-0.00005675*E96+0.000018586*I96))-450)/100</f>
        <v>0.276409294808346</v>
      </c>
      <c r="X96" s="5" t="n">
        <f aca="false">(0-98.42+4.15*E96/2.54-0.082*C96/0.4536)/(C96/0.45359)</f>
        <v>0.2730913948269</v>
      </c>
      <c r="Y96" s="4" t="n">
        <f aca="false">C96*W96</f>
        <v>22.3615119499952</v>
      </c>
      <c r="Z96" s="4" t="n">
        <f aca="false">C96-Y96</f>
        <v>58.5384880500048</v>
      </c>
      <c r="AA96" s="4" t="n">
        <f aca="false">Z96/POWER($B$4/100,2)</f>
        <v>20.7406774553589</v>
      </c>
      <c r="AB96" s="4" t="n">
        <f aca="false">AA96+6.1*(1.8-$B$4/100)</f>
        <v>21.4726774553589</v>
      </c>
      <c r="AC96" s="4" t="n">
        <f aca="false">$Z$84-Z96</f>
        <v>1.50045629487461</v>
      </c>
      <c r="AD96" s="4" t="n">
        <f aca="false">$Y$84-Y96</f>
        <v>3.39954370512538</v>
      </c>
    </row>
    <row r="97" customFormat="false" ht="15" hidden="false" customHeight="false" outlineLevel="0" collapsed="false">
      <c r="A97" s="2" t="n">
        <v>45442</v>
      </c>
      <c r="B97" s="0" t="n">
        <f aca="false">ROUNDDOWN((A97-$B$2)/365,1)</f>
        <v>33.4</v>
      </c>
      <c r="C97" s="0" t="n">
        <v>80.2</v>
      </c>
      <c r="E97" s="0" t="n">
        <v>98.5</v>
      </c>
      <c r="F97" s="0" t="n">
        <v>99.5</v>
      </c>
      <c r="G97" s="0" t="n">
        <v>37.5</v>
      </c>
      <c r="I97" s="0" t="n">
        <v>28.7</v>
      </c>
      <c r="J97" s="0" t="n">
        <v>50</v>
      </c>
      <c r="K97" s="0" t="n">
        <v>19</v>
      </c>
      <c r="L97" s="0" t="n">
        <v>15</v>
      </c>
      <c r="T97" s="4" t="n">
        <f aca="false">C97/(POWER($B$4/100,2))</f>
        <v>28.4155328798186</v>
      </c>
      <c r="U97" s="5" t="n">
        <f aca="false">((86.01*LOG10(E97-G97))-(70.041*LOG10($B$4))+30.3)/100</f>
        <v>0.27993331707915</v>
      </c>
      <c r="V97" s="5" t="n">
        <f aca="false">((495/(1.10938-0.0008267*(K97+J97+L97)+0.0000016*POWER((K97+J97+L97),2)-0.0002575*B97))-450)/100</f>
        <v>0.247626258804329</v>
      </c>
      <c r="W97" s="5" t="n">
        <f aca="false">((495/(1.099075-0.0008209*(K97+J97+L97)+0.0000026*POWER((K97+J97+L97),2)-0.0002017*B97-0.00005675*E97+0.000018586*I97))-450)/100</f>
        <v>0.274896139468806</v>
      </c>
      <c r="X97" s="5" t="n">
        <f aca="false">(0-98.42+4.15*E97/2.54-0.082*C97/0.4536)/(C97/0.45359)</f>
        <v>0.271570345264805</v>
      </c>
      <c r="Y97" s="4" t="n">
        <f aca="false">C97*W97</f>
        <v>22.0466703853982</v>
      </c>
      <c r="Z97" s="4" t="n">
        <f aca="false">C97-Y97</f>
        <v>58.1533296146018</v>
      </c>
      <c r="AA97" s="4" t="n">
        <f aca="false">Z97/POWER($B$4/100,2)</f>
        <v>20.6042125902076</v>
      </c>
      <c r="AB97" s="4" t="n">
        <f aca="false">AA97+6.1*(1.8-$B$4/100)</f>
        <v>21.3362125902076</v>
      </c>
      <c r="AC97" s="4" t="n">
        <f aca="false">$Z$84-Z97</f>
        <v>1.88561473027766</v>
      </c>
      <c r="AD97" s="4" t="n">
        <f aca="false">$Y$84-Y97</f>
        <v>3.71438526972234</v>
      </c>
    </row>
    <row r="98" customFormat="false" ht="15" hidden="false" customHeight="false" outlineLevel="0" collapsed="false">
      <c r="A98" s="2" t="n">
        <v>45451</v>
      </c>
      <c r="B98" s="0" t="n">
        <f aca="false">ROUNDDOWN((A98-$B$2)/365,1)</f>
        <v>33.4</v>
      </c>
      <c r="C98" s="0" t="n">
        <v>81.2</v>
      </c>
      <c r="E98" s="0" t="n">
        <v>100</v>
      </c>
      <c r="F98" s="0" t="n">
        <v>98</v>
      </c>
      <c r="G98" s="0" t="n">
        <v>37.3</v>
      </c>
      <c r="I98" s="0" t="n">
        <v>28.5</v>
      </c>
      <c r="J98" s="0" t="n">
        <v>49</v>
      </c>
      <c r="K98" s="0" t="n">
        <v>18</v>
      </c>
      <c r="L98" s="0" t="n">
        <v>15</v>
      </c>
      <c r="T98" s="4" t="n">
        <f aca="false">C98/(POWER($B$4/100,2))</f>
        <v>28.7698412698413</v>
      </c>
      <c r="U98" s="5" t="n">
        <f aca="false">((86.01*LOG10(E98-G98))-(70.041*LOG10($B$4))+30.3)/100</f>
        <v>0.290200937854888</v>
      </c>
      <c r="V98" s="5" t="n">
        <f aca="false">((495/(1.10938-0.0008267*(K98+J98+L98)+0.0000016*POWER((K98+J98+L98),2)-0.0002575*B98))-450)/100</f>
        <v>0.242521785660051</v>
      </c>
      <c r="W98" s="5" t="n">
        <f aca="false">((495/(1.099075-0.0008209*(K98+J98+L98)+0.0000026*POWER((K98+J98+L98),2)-0.0002017*B98-0.00005675*E98+0.000018586*I98))-450)/100</f>
        <v>0.271721236804966</v>
      </c>
      <c r="X98" s="5" t="n">
        <f aca="false">(0-98.42+4.15*E98/2.54-0.082*C98/0.4536)/(C98/0.45359)</f>
        <v>0.280906356594554</v>
      </c>
      <c r="Y98" s="4" t="n">
        <f aca="false">C98*W98</f>
        <v>22.0637644285632</v>
      </c>
      <c r="Z98" s="4" t="n">
        <f aca="false">C98-Y98</f>
        <v>59.1362355714368</v>
      </c>
      <c r="AA98" s="4" t="n">
        <f aca="false">Z98/POWER($B$4/100,2)</f>
        <v>20.9524644173175</v>
      </c>
      <c r="AB98" s="4" t="n">
        <f aca="false">AA98+6.1*(1.8-$B$4/100)</f>
        <v>21.6844644173175</v>
      </c>
      <c r="AC98" s="4" t="n">
        <f aca="false">$Z$84-Z98</f>
        <v>0.902708773442633</v>
      </c>
      <c r="AD98" s="4" t="n">
        <f aca="false">$Y$84-Y98</f>
        <v>3.69729122655736</v>
      </c>
    </row>
    <row r="99" customFormat="false" ht="15" hidden="false" customHeight="false" outlineLevel="0" collapsed="false">
      <c r="A99" s="2" t="n">
        <v>45670</v>
      </c>
      <c r="B99" s="0" t="n">
        <f aca="false">ROUNDDOWN((A99-$B$2)/365,1)</f>
        <v>34</v>
      </c>
      <c r="C99" s="0" t="n">
        <v>81.8</v>
      </c>
      <c r="E99" s="0" t="n">
        <v>101.3</v>
      </c>
      <c r="F99" s="0" t="n">
        <v>99</v>
      </c>
      <c r="G99" s="0" t="n">
        <v>37</v>
      </c>
      <c r="H99" s="0" t="n">
        <v>55</v>
      </c>
      <c r="I99" s="0" t="n">
        <v>28.1</v>
      </c>
      <c r="J99" s="0" t="n">
        <v>50</v>
      </c>
      <c r="K99" s="0" t="n">
        <v>21</v>
      </c>
      <c r="L99" s="0" t="n">
        <v>14</v>
      </c>
      <c r="T99" s="4" t="n">
        <f aca="false">C99/(POWER($B$4/100,2))</f>
        <v>28.9824263038549</v>
      </c>
      <c r="U99" s="5" t="n">
        <f aca="false">((86.01*LOG10(E99-G99))-(70.041*LOG10($B$4))+30.3)/100</f>
        <v>0.299613383798512</v>
      </c>
      <c r="V99" s="5" t="n">
        <f aca="false">((495/(1.10938-0.0008267*(K99+J99+L99)+0.0000016*POWER((K99+J99+L99),2)-0.0002575*B99))-450)/100</f>
        <v>0.250865113341725</v>
      </c>
      <c r="W99" s="5" t="n">
        <f aca="false">((495/(1.099075-0.0008209*(K99+J99+L99)+0.0000026*POWER((K99+J99+L99),2)-0.0002017*B99-0.00005675*E99+0.000018586*I99))-450)/100</f>
        <v>0.277996006304991</v>
      </c>
      <c r="X99" s="5" t="n">
        <f aca="false">(0-98.42+4.15*E99/2.54-0.082*C99/0.4536)/(C99/0.45359)</f>
        <v>0.29002236605481</v>
      </c>
      <c r="Y99" s="4" t="n">
        <f aca="false">C99*W99</f>
        <v>22.7400733157482</v>
      </c>
      <c r="Z99" s="4" t="n">
        <f aca="false">C99-Y99</f>
        <v>59.0599266842518</v>
      </c>
      <c r="AA99" s="4" t="n">
        <f aca="false">Z99/POWER($B$4/100,2)</f>
        <v>20.9254275383545</v>
      </c>
      <c r="AB99" s="4" t="n">
        <f aca="false">AA99+6.1*(1.8-$B$4/100)</f>
        <v>21.6574275383545</v>
      </c>
      <c r="AC99" s="4" t="n">
        <f aca="false">$Z$84-Z99</f>
        <v>0.979017660627676</v>
      </c>
      <c r="AD99" s="4" t="n">
        <f aca="false">$Y$84-Y99</f>
        <v>3.02098233937232</v>
      </c>
    </row>
    <row r="100" customFormat="false" ht="15" hidden="false" customHeight="false" outlineLevel="0" collapsed="false">
      <c r="A100" s="2" t="n">
        <v>45700</v>
      </c>
      <c r="B100" s="0" t="n">
        <f aca="false">ROUNDDOWN((A100-$B$2)/365,1)</f>
        <v>34.1</v>
      </c>
      <c r="C100" s="0" t="n">
        <v>81.4</v>
      </c>
      <c r="E100" s="0" t="n">
        <v>100.5</v>
      </c>
      <c r="F100" s="0" t="n">
        <v>98.5</v>
      </c>
      <c r="G100" s="0" t="n">
        <v>37</v>
      </c>
      <c r="H100" s="0" t="n">
        <v>55</v>
      </c>
      <c r="I100" s="0" t="n">
        <v>28.4</v>
      </c>
      <c r="J100" s="0" t="n">
        <v>49</v>
      </c>
      <c r="K100" s="0" t="n">
        <v>21</v>
      </c>
      <c r="L100" s="0" t="n">
        <v>13</v>
      </c>
      <c r="T100" s="4" t="n">
        <f aca="false">C100/(POWER($B$4/100,2))</f>
        <v>28.8407029478458</v>
      </c>
      <c r="U100" s="5" t="n">
        <f aca="false">((86.01*LOG10(E100-G100))-(70.041*LOG10($B$4))+30.3)/100</f>
        <v>0.294936807110017</v>
      </c>
      <c r="V100" s="5" t="n">
        <f aca="false">((495/(1.10938-0.0008267*(K100+J100+L100)+0.0000016*POWER((K100+J100+L100),2)-0.0002575*B100))-450)/100</f>
        <v>0.245899961893778</v>
      </c>
      <c r="W100" s="5" t="n">
        <f aca="false">((495/(1.099075-0.0008209*(K100+J100+L100)+0.0000026*POWER((K100+J100+L100),2)-0.0002017*B100-0.00005675*E100+0.000018586*I100))-450)/100</f>
        <v>0.274313856267512</v>
      </c>
      <c r="X100" s="5" t="n">
        <f aca="false">(0-98.42+4.15*E100/2.54-0.082*C100/0.4536)/(C100/0.45359)</f>
        <v>0.284566921411015</v>
      </c>
      <c r="Y100" s="4" t="n">
        <f aca="false">C100*W100</f>
        <v>22.3291479001755</v>
      </c>
      <c r="Z100" s="4" t="n">
        <f aca="false">C100-Y100</f>
        <v>59.0708520998245</v>
      </c>
      <c r="AA100" s="4" t="n">
        <f aca="false">Z100/POWER($B$4/100,2)</f>
        <v>20.9292985047564</v>
      </c>
      <c r="AB100" s="4" t="n">
        <f aca="false">AA100+6.1*(1.8-$B$4/100)</f>
        <v>21.6612985047564</v>
      </c>
      <c r="AC100" s="4" t="n">
        <f aca="false">$Z$84-Z100</f>
        <v>0.968092245054898</v>
      </c>
      <c r="AD100" s="4" t="n">
        <f aca="false">$Y$84-Y100</f>
        <v>3.43190775494509</v>
      </c>
    </row>
    <row r="101" customFormat="false" ht="15" hidden="false" customHeight="false" outlineLevel="0" collapsed="false">
      <c r="A101" s="2" t="n">
        <v>45820</v>
      </c>
      <c r="B101" s="0" t="n">
        <f aca="false">ROUNDDOWN((A101-$B$2)/365,1)</f>
        <v>34.4</v>
      </c>
      <c r="C101" s="0" t="n">
        <v>81</v>
      </c>
      <c r="E101" s="0" t="n">
        <v>99.75</v>
      </c>
      <c r="F101" s="0" t="n">
        <v>98</v>
      </c>
      <c r="G101" s="0" t="n">
        <v>37</v>
      </c>
      <c r="H101" s="0" t="n">
        <v>54</v>
      </c>
      <c r="I101" s="0" t="n">
        <v>28.3</v>
      </c>
      <c r="J101" s="0" t="n">
        <v>50</v>
      </c>
      <c r="K101" s="0" t="n">
        <v>21</v>
      </c>
      <c r="L101" s="0" t="n">
        <v>15</v>
      </c>
      <c r="T101" s="4" t="n">
        <f aca="false">C101/(POWER($B$4/100,2))</f>
        <v>28.6989795918367</v>
      </c>
      <c r="U101" s="5" t="n">
        <f aca="false">((86.01*LOG10(E101-G101))-(70.041*LOG10($B$4))+30.3)/100</f>
        <v>0.290498695291049</v>
      </c>
      <c r="V101" s="5" t="n">
        <f aca="false">((495/(1.10938-0.0008267*(K101+J101+L101)+0.0000016*POWER((K101+J101+L101),2)-0.0002575*B101))-450)/100</f>
        <v>0.253858644637446</v>
      </c>
      <c r="W101" s="5" t="n">
        <f aca="false">((495/(1.099075-0.0008209*(K101+J101+L101)+0.0000026*POWER((K101+J101+L101),2)-0.0002017*B101-0.00005675*E101+0.000018586*I101))-450)/100</f>
        <v>0.279681354176633</v>
      </c>
      <c r="X101" s="5" t="n">
        <f aca="false">(0-98.42+4.15*E101/2.54-0.082*C101/0.4536)/(C101/0.45359)</f>
        <v>0.279515066061881</v>
      </c>
      <c r="Y101" s="4" t="n">
        <f aca="false">C101*W101</f>
        <v>22.6541896883073</v>
      </c>
      <c r="Z101" s="4" t="n">
        <f aca="false">C101-Y101</f>
        <v>58.3458103116927</v>
      </c>
      <c r="AA101" s="4" t="n">
        <f aca="false">Z101/POWER($B$4/100,2)</f>
        <v>20.6724101161043</v>
      </c>
      <c r="AB101" s="4" t="n">
        <f aca="false">AA101+6.1*(1.8-$B$4/100)</f>
        <v>21.4044101161043</v>
      </c>
      <c r="AC101" s="4" t="n">
        <f aca="false">$Z$84-Z101</f>
        <v>1.6931340331867</v>
      </c>
      <c r="AD101" s="4" t="n">
        <f aca="false">$Y$84-Y101</f>
        <v>3.1068659668133</v>
      </c>
    </row>
    <row r="102" customFormat="false" ht="15" hidden="false" customHeight="false" outlineLevel="0" collapsed="false">
      <c r="A102" s="2" t="n">
        <v>45946</v>
      </c>
      <c r="B102" s="0" t="n">
        <f aca="false">ROUNDDOWN((A102-$B$2)/365,1)</f>
        <v>34.8</v>
      </c>
      <c r="C102" s="0" t="n">
        <v>81.8</v>
      </c>
      <c r="E102" s="0" t="n">
        <v>99.7</v>
      </c>
      <c r="F102" s="0" t="n">
        <v>98</v>
      </c>
      <c r="G102" s="0" t="n">
        <v>37.8</v>
      </c>
      <c r="H102" s="0" t="n">
        <v>55</v>
      </c>
      <c r="I102" s="0" t="n">
        <v>28.3</v>
      </c>
      <c r="J102" s="0" t="n">
        <v>49</v>
      </c>
      <c r="K102" s="0" t="n">
        <v>21.5</v>
      </c>
      <c r="L102" s="0" t="n">
        <v>14</v>
      </c>
      <c r="T102" s="4" t="n">
        <f aca="false">C102/(POWER($B$4/100,2))</f>
        <v>28.9824263038549</v>
      </c>
      <c r="U102" s="5" t="n">
        <f aca="false">((86.01*LOG10(E102-G102))-(70.041*LOG10($B$4))+30.3)/100</f>
        <v>0.285404253208592</v>
      </c>
      <c r="V102" s="5" t="n">
        <f aca="false">((495/(1.10938-0.0008267*(K102+J102+L102)+0.0000016*POWER((K102+J102+L102),2)-0.0002575*B102))-450)/100</f>
        <v>0.250537974432988</v>
      </c>
      <c r="W102" s="5" t="n">
        <f aca="false">((495/(1.099075-0.0008209*(K102+J102+L102)+0.0000026*POWER((K102+J102+L102),2)-0.0002017*B102-0.00005675*E102+0.000018586*I102))-450)/100</f>
        <v>0.277427615561185</v>
      </c>
      <c r="X102" s="5" t="n">
        <f aca="false">(0-98.42+4.15*E102/2.54-0.082*C102/0.4536)/(C102/0.45359)</f>
        <v>0.275526487880658</v>
      </c>
      <c r="Y102" s="4" t="n">
        <f aca="false">C102*W102</f>
        <v>22.6935789529049</v>
      </c>
      <c r="Z102" s="4" t="n">
        <f aca="false">C102-Y102</f>
        <v>59.1064210470951</v>
      </c>
      <c r="AA102" s="4" t="n">
        <f aca="false">Z102/POWER($B$4/100,2)</f>
        <v>20.9419008811987</v>
      </c>
      <c r="AB102" s="4" t="n">
        <f aca="false">AA102+6.1*(1.8-$B$4/100)</f>
        <v>21.6739008811987</v>
      </c>
      <c r="AC102" s="4" t="n">
        <f aca="false">$Z$84-Z102</f>
        <v>0.932523297784336</v>
      </c>
      <c r="AD102" s="4" t="n">
        <f aca="false">$Y$84-Y102</f>
        <v>3.06747670221566</v>
      </c>
    </row>
    <row r="103" customFormat="false" ht="15" hidden="false" customHeight="false" outlineLevel="0" collapsed="false">
      <c r="A103" s="2" t="n">
        <v>46111</v>
      </c>
      <c r="B103" s="0" t="n">
        <f aca="false">ROUNDDOWN((A103-$B$2)/365,1)</f>
        <v>35.2</v>
      </c>
      <c r="C103" s="0" t="n">
        <v>82.6</v>
      </c>
      <c r="E103" s="0" t="n">
        <v>99.5</v>
      </c>
      <c r="F103" s="0" t="n">
        <v>100</v>
      </c>
      <c r="G103" s="0" t="n">
        <v>37.2</v>
      </c>
      <c r="H103" s="0" t="n">
        <v>56.15</v>
      </c>
      <c r="I103" s="0" t="n">
        <v>28.5</v>
      </c>
      <c r="J103" s="0" t="n">
        <v>50</v>
      </c>
      <c r="K103" s="0" t="n">
        <v>22</v>
      </c>
      <c r="L103" s="0" t="n">
        <v>15</v>
      </c>
      <c r="T103" s="4" t="n">
        <f aca="false">C103/(POWER($B$4/100,2))</f>
        <v>29.265873015873</v>
      </c>
      <c r="U103" s="5" t="n">
        <f aca="false">((86.01*LOG10(E103-G103))-(70.041*LOG10($B$4))+30.3)/100</f>
        <v>0.28781029491794</v>
      </c>
      <c r="V103" s="5" t="n">
        <f aca="false">((495/(1.10938-0.0008267*(K103+J103+L103)+0.0000016*POWER((K103+J103+L103),2)-0.0002575*B103))-450)/100</f>
        <v>0.257312205100703</v>
      </c>
      <c r="W103" s="5" t="n">
        <f aca="false">((495/(1.099075-0.0008209*(K103+J103+L103)+0.0000026*POWER((K103+J103+L103),2)-0.0002017*B103-0.00005675*E103+0.000018586*I103))-450)/100</f>
        <v>0.282057322132758</v>
      </c>
      <c r="X103" s="5" t="n">
        <f aca="false">(0-98.42+4.15*E103/2.54-0.082*C103/0.4536)/(C103/0.45359)</f>
        <v>0.270269343831903</v>
      </c>
      <c r="Y103" s="4" t="n">
        <f aca="false">C103*W103</f>
        <v>23.2979348081658</v>
      </c>
      <c r="Z103" s="4" t="n">
        <f aca="false">C103-Y103</f>
        <v>59.3020651918342</v>
      </c>
      <c r="AA103" s="4" t="n">
        <f aca="false">Z103/POWER($B$4/100,2)</f>
        <v>21.0112192431385</v>
      </c>
      <c r="AB103" s="4" t="n">
        <f aca="false">AA103+6.1*(1.8-$B$4/100)</f>
        <v>21.7432192431385</v>
      </c>
      <c r="AC103" s="4" t="n">
        <f aca="false">$Z$84-Z103</f>
        <v>0.736879153045273</v>
      </c>
      <c r="AD103" s="4" t="n">
        <f aca="false">$Y$84-Y103</f>
        <v>2.46312084695473</v>
      </c>
    </row>
    <row r="104" customFormat="false" ht="15" hidden="false" customHeight="false" outlineLevel="0" collapsed="false">
      <c r="A104" s="2" t="n">
        <v>46160</v>
      </c>
      <c r="B104" s="0" t="n">
        <f aca="false">ROUNDDOWN((A104-$B$2)/365,1)</f>
        <v>35.4</v>
      </c>
      <c r="C104" s="0" t="n">
        <v>79.9</v>
      </c>
      <c r="E104" s="0" t="n">
        <v>97</v>
      </c>
      <c r="F104" s="0" t="n">
        <v>99</v>
      </c>
      <c r="G104" s="0" t="n">
        <v>37.3</v>
      </c>
      <c r="H104" s="0" t="n">
        <v>56</v>
      </c>
      <c r="I104" s="0" t="n">
        <v>28.3</v>
      </c>
      <c r="J104" s="0" t="n">
        <v>47</v>
      </c>
      <c r="K104" s="0" t="n">
        <v>21</v>
      </c>
      <c r="L104" s="0" t="n">
        <v>15</v>
      </c>
      <c r="T104" s="4" t="n">
        <f aca="false">C104/(POWER($B$4/100,2))</f>
        <v>28.3092403628118</v>
      </c>
      <c r="U104" s="5" t="n">
        <f aca="false">((86.01*LOG10(E104-G104))-(70.041*LOG10($B$4))+30.3)/100</f>
        <v>0.271886648190759</v>
      </c>
      <c r="V104" s="5" t="n">
        <f aca="false">((495/(1.10938-0.0008267*(K104+J104+L104)+0.0000016*POWER((K104+J104+L104),2)-0.0002575*B104))-450)/100</f>
        <v>0.247423635532903</v>
      </c>
      <c r="W104" s="5" t="n">
        <f aca="false">((495/(1.099075-0.0008209*(K104+J104+L104)+0.0000026*POWER((K104+J104+L104),2)-0.0002017*B104-0.00005675*E104+0.000018586*I104))-450)/100</f>
        <v>0.274615234115505</v>
      </c>
      <c r="X104" s="5" t="n">
        <f aca="false">(0-98.42+4.15*E104/2.54-0.082*C104/0.4536)/(C104/0.45359)</f>
        <v>0.258984837176833</v>
      </c>
      <c r="Y104" s="4" t="n">
        <f aca="false">C104*W104</f>
        <v>21.9417572058289</v>
      </c>
      <c r="Z104" s="4" t="n">
        <f aca="false">C104-Y104</f>
        <v>57.9582427941712</v>
      </c>
      <c r="AA104" s="4" t="n">
        <f aca="false">Z104/POWER($B$4/100,2)</f>
        <v>20.5350916929461</v>
      </c>
      <c r="AB104" s="4" t="n">
        <f aca="false">AA104+6.1*(1.8-$B$4/100)</f>
        <v>21.2670916929461</v>
      </c>
      <c r="AC104" s="4" t="n">
        <f aca="false">$Z$84-Z104</f>
        <v>2.08070155070828</v>
      </c>
      <c r="AD104" s="4" t="n">
        <f aca="false">$Y$84-Y104</f>
        <v>3.81929844929171</v>
      </c>
    </row>
    <row r="105" customFormat="false" ht="15" hidden="false" customHeight="false" outlineLevel="0" collapsed="false">
      <c r="A105" s="2" t="n">
        <v>46191</v>
      </c>
      <c r="B105" s="0" t="n">
        <f aca="false">ROUNDDOWN((A105-$B$2)/365,1)</f>
        <v>35.5</v>
      </c>
      <c r="C105" s="0" t="n">
        <v>78.2</v>
      </c>
      <c r="E105" s="0" t="n">
        <v>95.5</v>
      </c>
      <c r="F105" s="0" t="n">
        <v>96.5</v>
      </c>
      <c r="G105" s="0" t="n">
        <v>36.5</v>
      </c>
      <c r="H105" s="0" t="n">
        <v>54.8</v>
      </c>
      <c r="I105" s="0" t="n">
        <v>28.1</v>
      </c>
      <c r="J105" s="0" t="n">
        <v>42</v>
      </c>
      <c r="K105" s="0" t="n">
        <v>19</v>
      </c>
      <c r="L105" s="0" t="n">
        <v>14</v>
      </c>
      <c r="T105" s="4" t="n">
        <f aca="false">C105/(POWER($B$4/100,2))</f>
        <v>27.7069160997733</v>
      </c>
      <c r="U105" s="5" t="n">
        <f aca="false">((86.01*LOG10(E105-G105))-(70.041*LOG10($B$4))+30.3)/100</f>
        <v>0.267480941199797</v>
      </c>
      <c r="V105" s="5" t="n">
        <f aca="false">((495/(1.10938-0.0008267*(K105+J105+L105)+0.0000016*POWER((K105+J105+L105),2)-0.0002575*B105))-450)/100</f>
        <v>0.226727135352697</v>
      </c>
      <c r="W105" s="5" t="n">
        <f aca="false">((495/(1.099075-0.0008209*(K105+J105+L105)+0.0000026*POWER((K105+J105+L105),2)-0.0002017*B105-0.00005675*E105+0.000018586*I105))-450)/100</f>
        <v>0.259273121488852</v>
      </c>
      <c r="X105" s="5" t="n">
        <f aca="false">(0-98.42+4.15*E105/2.54-0.082*C105/0.4536)/(C105/0.45359)</f>
        <v>0.252182004600466</v>
      </c>
      <c r="Y105" s="4" t="n">
        <f aca="false">C105*W105</f>
        <v>20.2751581004282</v>
      </c>
      <c r="Z105" s="4" t="n">
        <f aca="false">C105-Y105</f>
        <v>57.9248418995718</v>
      </c>
      <c r="AA105" s="4" t="n">
        <f aca="false">Z105/POWER($B$4/100,2)</f>
        <v>20.5232574757553</v>
      </c>
      <c r="AB105" s="4" t="n">
        <f aca="false">AA105+6.1*(1.8-$B$4/100)</f>
        <v>21.2552574757553</v>
      </c>
      <c r="AC105" s="4" t="n">
        <f aca="false">$Z$84-Z105</f>
        <v>2.11410244530767</v>
      </c>
      <c r="AD105" s="4" t="n">
        <f aca="false">$Y$84-Y105</f>
        <v>5.48589755469232</v>
      </c>
    </row>
    <row r="106" customFormat="false" ht="15" hidden="false" customHeight="false" outlineLevel="0" collapsed="false">
      <c r="A106" s="2" t="n">
        <v>46204</v>
      </c>
      <c r="B106" s="0" t="n">
        <f aca="false">ROUNDDOWN((A106-$B$2)/365,1)</f>
        <v>35.5</v>
      </c>
      <c r="C106" s="0" t="n">
        <v>78.8</v>
      </c>
      <c r="T106" s="4" t="n">
        <f aca="false">C106/(POWER($B$4/100,2))</f>
        <v>27.9195011337869</v>
      </c>
      <c r="U106" s="5"/>
      <c r="V106" s="5"/>
      <c r="W106" s="5"/>
      <c r="X106" s="5"/>
      <c r="Y106" s="4"/>
      <c r="Z106" s="4"/>
      <c r="AA106" s="4"/>
      <c r="AB106" s="4"/>
      <c r="AC106" s="4"/>
      <c r="AD106" s="4"/>
    </row>
    <row r="107" customFormat="false" ht="15" hidden="false" customHeight="false" outlineLevel="0" collapsed="false">
      <c r="A107" s="2" t="n">
        <v>46229</v>
      </c>
      <c r="B107" s="0" t="n">
        <f aca="false">ROUNDDOWN((A107-$B$2)/365,1)</f>
        <v>35.6</v>
      </c>
      <c r="C107" s="0" t="n">
        <v>79.1</v>
      </c>
      <c r="E107" s="0" t="n">
        <v>95</v>
      </c>
      <c r="F107" s="0" t="n">
        <v>96.5</v>
      </c>
      <c r="G107" s="0" t="n">
        <v>37.2</v>
      </c>
      <c r="H107" s="0" t="n">
        <v>55.5</v>
      </c>
      <c r="I107" s="0" t="n">
        <v>28.1</v>
      </c>
      <c r="J107" s="0" t="n">
        <v>41</v>
      </c>
      <c r="K107" s="0" t="n">
        <v>20</v>
      </c>
      <c r="L107" s="0" t="n">
        <v>14</v>
      </c>
      <c r="T107" s="4" t="n">
        <f aca="false">C107/(POWER($B$4/100,2))</f>
        <v>28.0257936507937</v>
      </c>
      <c r="U107" s="5" t="n">
        <f aca="false">((86.01*LOG10(E107-G107))-(70.041*LOG10($B$4))+30.3)/100</f>
        <v>0.259805259811886</v>
      </c>
      <c r="V107" s="5" t="n">
        <f aca="false">((495/(1.10938-0.0008267*(K107+J107+L107)+0.0000016*POWER((K107+J107+L107),2)-0.0002575*B107))-450)/100</f>
        <v>0.22684336148272</v>
      </c>
      <c r="W107" s="5" t="n">
        <f aca="false">((495/(1.099075-0.0008209*(K107+J107+L107)+0.0000026*POWER((K107+J107+L107),2)-0.0002017*B107-0.00005675*E107+0.000018586*I107))-450)/100</f>
        <v>0.259235576565908</v>
      </c>
      <c r="X107" s="5" t="n">
        <f aca="false">(0-98.42+4.15*E107/2.54-0.082*C107/0.4536)/(C107/0.45359)</f>
        <v>0.243695113791578</v>
      </c>
      <c r="Y107" s="4" t="n">
        <f aca="false">C107*W107</f>
        <v>20.5055341063634</v>
      </c>
      <c r="Z107" s="4" t="n">
        <f aca="false">C107-Y107</f>
        <v>58.5944658936366</v>
      </c>
      <c r="AA107" s="4" t="n">
        <f aca="false">Z107/POWER($B$4/100,2)</f>
        <v>20.760510875013</v>
      </c>
      <c r="AB107" s="4" t="n">
        <f aca="false">AA107+6.1*(1.8-$B$4/100)</f>
        <v>21.492510875013</v>
      </c>
      <c r="AC107" s="4" t="n">
        <f aca="false">$Z$84-Z107</f>
        <v>1.44447845124279</v>
      </c>
      <c r="AD107" s="4" t="n">
        <f aca="false">$Y$84-Y107</f>
        <v>5.25552154875721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10.30078125" defaultRowHeight="15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42.71"/>
    <col collapsed="false" customWidth="true" hidden="false" outlineLevel="0" max="3" min="3" style="0" width="20.71"/>
    <col collapsed="false" customWidth="true" hidden="false" outlineLevel="0" max="5" min="4" style="0" width="5.71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8" min="8" style="0" width="8.71"/>
    <col collapsed="false" customWidth="true" hidden="false" outlineLevel="0" max="9" min="9" style="0" width="10.71"/>
    <col collapsed="false" customWidth="true" hidden="false" outlineLevel="0" max="10" min="10" style="0" width="9.71"/>
    <col collapsed="false" customWidth="true" hidden="false" outlineLevel="0" max="11" min="11" style="0" width="10.71"/>
    <col collapsed="false" customWidth="true" hidden="false" outlineLevel="0" max="13" min="12" style="0" width="14.71"/>
    <col collapsed="false" customWidth="true" hidden="false" outlineLevel="0" max="15" min="14" style="0" width="13.71"/>
    <col collapsed="false" customWidth="true" hidden="false" outlineLevel="0" max="16" min="16" style="0" width="8.71"/>
    <col collapsed="false" customWidth="true" hidden="false" outlineLevel="0" max="17" min="17" style="0" width="7.71"/>
    <col collapsed="false" customWidth="true" hidden="false" outlineLevel="0" max="18" min="18" style="0" width="3.71"/>
    <col collapsed="false" customWidth="true" hidden="false" outlineLevel="0" max="19" min="19" style="0" width="7.71"/>
    <col collapsed="false" customWidth="true" hidden="false" outlineLevel="0" max="20" min="20" style="0" width="19.71"/>
    <col collapsed="false" customWidth="true" hidden="false" outlineLevel="0" max="21" min="21" style="0" width="10.71"/>
    <col collapsed="false" customWidth="true" hidden="false" outlineLevel="0" max="24" min="22" style="0" width="6.71"/>
    <col collapsed="false" customWidth="true" hidden="false" outlineLevel="0" max="25" min="25" style="0" width="8.71"/>
    <col collapsed="false" customWidth="true" hidden="false" outlineLevel="0" max="26" min="26" style="0" width="3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2</v>
      </c>
      <c r="B2" s="2" t="n">
        <v>32707</v>
      </c>
    </row>
    <row r="3" customFormat="false" ht="15" hidden="false" customHeight="false" outlineLevel="0" collapsed="false">
      <c r="A3" s="1" t="s">
        <v>3</v>
      </c>
      <c r="B3" s="0" t="n">
        <v>0</v>
      </c>
      <c r="C3" s="0" t="s">
        <v>4</v>
      </c>
    </row>
    <row r="4" customFormat="false" ht="15" hidden="false" customHeight="false" outlineLevel="0" collapsed="false">
      <c r="A4" s="1" t="s">
        <v>5</v>
      </c>
      <c r="B4" s="0" t="n">
        <v>168</v>
      </c>
    </row>
    <row r="5" customFormat="false" ht="15" hidden="false" customHeight="false" outlineLevel="0" collapsed="false">
      <c r="A5" s="1" t="s">
        <v>6</v>
      </c>
      <c r="B5" s="0" t="s">
        <v>7</v>
      </c>
    </row>
    <row r="7" customFormat="false" ht="15" hidden="false" customHeight="false" outlineLevel="0" collapsed="false">
      <c r="A7" s="3" t="s">
        <v>8</v>
      </c>
      <c r="B7" s="3" t="s">
        <v>9</v>
      </c>
      <c r="C7" s="3" t="s">
        <v>10</v>
      </c>
      <c r="D7" s="3" t="s">
        <v>12</v>
      </c>
      <c r="E7" s="3" t="s">
        <v>38</v>
      </c>
      <c r="F7" s="3" t="s">
        <v>13</v>
      </c>
      <c r="G7" s="3" t="s">
        <v>14</v>
      </c>
      <c r="H7" s="3" t="s">
        <v>18</v>
      </c>
      <c r="I7" s="3" t="s">
        <v>17</v>
      </c>
      <c r="J7" s="3" t="s">
        <v>20</v>
      </c>
      <c r="K7" s="3" t="s">
        <v>23</v>
      </c>
      <c r="L7" s="3" t="s">
        <v>25</v>
      </c>
      <c r="M7" s="3" t="s">
        <v>26</v>
      </c>
      <c r="N7" s="3" t="s">
        <v>21</v>
      </c>
      <c r="O7" s="3" t="s">
        <v>24</v>
      </c>
      <c r="P7" s="3" t="s">
        <v>19</v>
      </c>
      <c r="Q7" s="3" t="s">
        <v>22</v>
      </c>
      <c r="R7" s="3" t="s">
        <v>27</v>
      </c>
      <c r="S7" s="3" t="s">
        <v>28</v>
      </c>
      <c r="T7" s="3" t="s">
        <v>39</v>
      </c>
      <c r="U7" s="3" t="s">
        <v>40</v>
      </c>
      <c r="V7" s="3" t="s">
        <v>29</v>
      </c>
      <c r="W7" s="3" t="s">
        <v>41</v>
      </c>
      <c r="X7" s="3" t="s">
        <v>42</v>
      </c>
      <c r="Y7" s="3" t="s">
        <v>32</v>
      </c>
      <c r="Z7" s="3" t="s">
        <v>33</v>
      </c>
    </row>
    <row r="8" customFormat="false" ht="15" hidden="false" customHeight="false" outlineLevel="0" collapsed="false">
      <c r="A8" s="2" t="n">
        <v>41440</v>
      </c>
      <c r="B8" s="0" t="n">
        <f aca="false">ROUNDDOWN((A8-$B$2)/365,1)</f>
        <v>23.9</v>
      </c>
      <c r="C8" s="0" t="n">
        <v>57</v>
      </c>
      <c r="D8" s="0" t="n">
        <v>79</v>
      </c>
      <c r="F8" s="0" t="n">
        <v>98</v>
      </c>
      <c r="G8" s="0" t="n">
        <v>33</v>
      </c>
      <c r="H8" s="0" t="n">
        <v>10</v>
      </c>
      <c r="I8" s="0" t="n">
        <v>19</v>
      </c>
      <c r="J8" s="0" t="n">
        <v>9</v>
      </c>
      <c r="K8" s="0" t="n">
        <v>14</v>
      </c>
      <c r="N8" s="0" t="n">
        <v>10</v>
      </c>
      <c r="P8" s="0" t="n">
        <v>31</v>
      </c>
      <c r="Q8" s="0" t="n">
        <v>18</v>
      </c>
      <c r="R8" s="4" t="n">
        <f aca="false">C8/(POWER($B$4/100,2))</f>
        <v>20.1955782312925</v>
      </c>
      <c r="S8" s="5" t="n">
        <v>0.2997</v>
      </c>
      <c r="T8" s="5"/>
      <c r="U8" s="5"/>
      <c r="V8" s="5" t="n">
        <v>0.2204</v>
      </c>
      <c r="W8" s="5" t="n">
        <v>0.2169</v>
      </c>
      <c r="X8" s="5"/>
      <c r="Y8" s="4" t="n">
        <f aca="false">C8*V8</f>
        <v>12.5628</v>
      </c>
      <c r="Z8" s="4" t="n">
        <f aca="false">C8-Y8</f>
        <v>44.4372</v>
      </c>
    </row>
    <row r="9" customFormat="false" ht="15" hidden="false" customHeight="false" outlineLevel="0" collapsed="false">
      <c r="A9" s="2" t="n">
        <v>41447</v>
      </c>
      <c r="B9" s="0" t="n">
        <f aca="false">ROUNDDOWN((A9-$B$2)/365,1)</f>
        <v>23.9</v>
      </c>
      <c r="H9" s="0" t="n">
        <v>8</v>
      </c>
      <c r="I9" s="0" t="n">
        <v>19</v>
      </c>
      <c r="K9" s="0" t="n">
        <v>16</v>
      </c>
      <c r="N9" s="0" t="n">
        <v>10</v>
      </c>
      <c r="P9" s="0" t="n">
        <v>22</v>
      </c>
      <c r="R9" s="4"/>
      <c r="S9" s="5"/>
      <c r="T9" s="5"/>
      <c r="U9" s="5"/>
      <c r="V9" s="5" t="n">
        <v>0.2036</v>
      </c>
      <c r="W9" s="5" t="n">
        <v>0.2004</v>
      </c>
      <c r="X9" s="5"/>
      <c r="Y9" s="4"/>
      <c r="Z9" s="4"/>
    </row>
    <row r="10" customFormat="false" ht="15" hidden="false" customHeight="false" outlineLevel="0" collapsed="false">
      <c r="A10" s="2" t="n">
        <v>41452</v>
      </c>
      <c r="B10" s="0" t="n">
        <f aca="false">ROUNDDOWN((A10-$B$2)/365,1)</f>
        <v>23.9</v>
      </c>
      <c r="C10" s="0" t="n">
        <v>56.9</v>
      </c>
      <c r="H10" s="0" t="n">
        <v>10</v>
      </c>
      <c r="I10" s="0" t="n">
        <v>19</v>
      </c>
      <c r="J10" s="0" t="n">
        <v>6</v>
      </c>
      <c r="K10" s="0" t="n">
        <v>14</v>
      </c>
      <c r="N10" s="0" t="n">
        <v>7</v>
      </c>
      <c r="P10" s="0" t="n">
        <v>21</v>
      </c>
      <c r="Q10" s="0" t="n">
        <v>16</v>
      </c>
      <c r="R10" s="4" t="n">
        <f aca="false">C10/(POWER($B$4/100,2))</f>
        <v>20.1601473922903</v>
      </c>
      <c r="S10" s="5"/>
      <c r="T10" s="5"/>
      <c r="U10" s="5"/>
      <c r="V10" s="5" t="n">
        <v>0.1758</v>
      </c>
      <c r="W10" s="5" t="n">
        <v>0.1859</v>
      </c>
      <c r="X10" s="5"/>
      <c r="Y10" s="4" t="n">
        <f aca="false">C10*V10</f>
        <v>10.00302</v>
      </c>
      <c r="Z10" s="4" t="n">
        <f aca="false">C10-Y10</f>
        <v>46.89698</v>
      </c>
    </row>
    <row r="11" customFormat="false" ht="15" hidden="false" customHeight="false" outlineLevel="0" collapsed="false">
      <c r="A11" s="2" t="n">
        <v>41518</v>
      </c>
      <c r="B11" s="0" t="n">
        <f aca="false">ROUNDDOWN((A11-$B$2)/365,1)</f>
        <v>24.1</v>
      </c>
      <c r="C11" s="0" t="n">
        <v>58.4</v>
      </c>
      <c r="H11" s="0" t="n">
        <v>8</v>
      </c>
      <c r="I11" s="0" t="n">
        <v>15</v>
      </c>
      <c r="J11" s="0" t="n">
        <v>6</v>
      </c>
      <c r="K11" s="0" t="n">
        <v>13</v>
      </c>
      <c r="N11" s="0" t="n">
        <v>9</v>
      </c>
      <c r="P11" s="0" t="n">
        <v>22</v>
      </c>
      <c r="R11" s="4" t="n">
        <f aca="false">C11/(POWER($B$4/100,2))</f>
        <v>20.6916099773243</v>
      </c>
      <c r="S11" s="5"/>
      <c r="T11" s="5"/>
      <c r="U11" s="5"/>
      <c r="V11" s="5" t="n">
        <v>0.1834</v>
      </c>
      <c r="W11" s="5" t="n">
        <v>0.1813</v>
      </c>
      <c r="X11" s="5"/>
      <c r="Y11" s="4" t="n">
        <f aca="false">C11*V11</f>
        <v>10.71056</v>
      </c>
      <c r="Z11" s="4" t="n">
        <f aca="false">C11-Y11</f>
        <v>47.68944</v>
      </c>
    </row>
    <row r="12" customFormat="false" ht="15" hidden="false" customHeight="false" outlineLevel="0" collapsed="false">
      <c r="A12" s="2" t="n">
        <v>41531</v>
      </c>
      <c r="B12" s="0" t="n">
        <f aca="false">ROUNDDOWN((A12-$B$2)/365,1)</f>
        <v>24.1</v>
      </c>
      <c r="C12" s="0" t="n">
        <v>59</v>
      </c>
      <c r="D12" s="0" t="n">
        <v>72</v>
      </c>
      <c r="F12" s="0" t="n">
        <v>97</v>
      </c>
      <c r="G12" s="0" t="n">
        <v>31.5</v>
      </c>
      <c r="H12" s="0" t="n">
        <v>7</v>
      </c>
      <c r="I12" s="0" t="n">
        <v>17</v>
      </c>
      <c r="J12" s="0" t="n">
        <v>8</v>
      </c>
      <c r="K12" s="0" t="n">
        <v>14</v>
      </c>
      <c r="L12" s="0" t="n">
        <v>9</v>
      </c>
      <c r="M12" s="0" t="n">
        <v>12</v>
      </c>
      <c r="N12" s="0" t="n">
        <v>9</v>
      </c>
      <c r="O12" s="0" t="n">
        <v>18</v>
      </c>
      <c r="P12" s="0" t="n">
        <v>22</v>
      </c>
      <c r="Q12" s="0" t="n">
        <v>16</v>
      </c>
      <c r="R12" s="4" t="n">
        <f aca="false">C12/(POWER($B$4/100,2))</f>
        <v>20.9041950113379</v>
      </c>
      <c r="S12" s="5" t="n">
        <v>0.2669</v>
      </c>
      <c r="T12" s="5" t="n">
        <v>0.2295</v>
      </c>
      <c r="U12" s="5"/>
      <c r="V12" s="5" t="n">
        <v>0.1869</v>
      </c>
      <c r="W12" s="5" t="n">
        <v>0.1886</v>
      </c>
      <c r="X12" s="5" t="n">
        <v>0.1867</v>
      </c>
      <c r="Y12" s="4" t="n">
        <f aca="false">C12*V12</f>
        <v>11.0271</v>
      </c>
      <c r="Z12" s="4" t="n">
        <f aca="false">C12-Y12</f>
        <v>47.9729</v>
      </c>
    </row>
    <row r="13" customFormat="false" ht="15" hidden="false" customHeight="false" outlineLevel="0" collapsed="false">
      <c r="A13" s="2" t="n">
        <v>41574</v>
      </c>
      <c r="B13" s="0" t="n">
        <f aca="false">ROUNDDOWN((A13-$B$2)/365,1)</f>
        <v>24.2</v>
      </c>
      <c r="C13" s="0" t="n">
        <v>58.3</v>
      </c>
      <c r="D13" s="0" t="n">
        <v>70.5</v>
      </c>
      <c r="E13" s="0" t="n">
        <v>80</v>
      </c>
      <c r="F13" s="0" t="n">
        <v>94</v>
      </c>
      <c r="G13" s="0" t="n">
        <v>32.5</v>
      </c>
      <c r="I13" s="0" t="n">
        <v>19</v>
      </c>
      <c r="K13" s="0" t="n">
        <v>13</v>
      </c>
      <c r="N13" s="0" t="n">
        <v>10</v>
      </c>
      <c r="P13" s="0" t="n">
        <v>22</v>
      </c>
      <c r="R13" s="4" t="n">
        <f aca="false">C13/(POWER($B$4/100,2))</f>
        <v>20.656179138322</v>
      </c>
      <c r="S13" s="5" t="n">
        <v>0.238</v>
      </c>
      <c r="T13" s="5"/>
      <c r="U13" s="5"/>
      <c r="V13" s="5" t="n">
        <v>0.1869</v>
      </c>
      <c r="W13" s="5" t="n">
        <v>0.1936</v>
      </c>
      <c r="X13" s="5"/>
      <c r="Y13" s="4" t="n">
        <f aca="false">C13*V13</f>
        <v>10.89627</v>
      </c>
      <c r="Z13" s="4" t="n">
        <f aca="false">C13-Y13</f>
        <v>47.40373</v>
      </c>
    </row>
    <row r="14" customFormat="false" ht="15" hidden="false" customHeight="false" outlineLevel="0" collapsed="false">
      <c r="A14" s="2" t="n">
        <v>41606</v>
      </c>
      <c r="B14" s="0" t="n">
        <f aca="false">ROUNDDOWN((A14-$B$2)/365,1)</f>
        <v>24.3</v>
      </c>
      <c r="C14" s="0" t="n">
        <v>58</v>
      </c>
      <c r="D14" s="0" t="n">
        <v>68.5</v>
      </c>
      <c r="E14" s="0" t="n">
        <v>80</v>
      </c>
      <c r="F14" s="0" t="n">
        <v>96</v>
      </c>
      <c r="G14" s="0" t="n">
        <v>31.5</v>
      </c>
      <c r="I14" s="0" t="n">
        <v>17</v>
      </c>
      <c r="J14" s="0" t="n">
        <v>7</v>
      </c>
      <c r="K14" s="0" t="n">
        <v>13</v>
      </c>
      <c r="L14" s="0" t="n">
        <v>8</v>
      </c>
      <c r="N14" s="0" t="n">
        <v>9</v>
      </c>
      <c r="P14" s="0" t="n">
        <v>23</v>
      </c>
      <c r="R14" s="4" t="n">
        <f aca="false">C14/(POWER($B$4/100,2))</f>
        <v>20.5498866213152</v>
      </c>
      <c r="S14" s="5" t="n">
        <v>0.2435</v>
      </c>
      <c r="T14" s="5" t="n">
        <v>0.2257</v>
      </c>
      <c r="U14" s="5"/>
      <c r="V14" s="5" t="n">
        <v>0.1869</v>
      </c>
      <c r="W14" s="5" t="n">
        <v>0.1886</v>
      </c>
      <c r="X14" s="5"/>
      <c r="Y14" s="4" t="n">
        <f aca="false">C14*V14</f>
        <v>10.8402</v>
      </c>
      <c r="Z14" s="4" t="n">
        <f aca="false">C14-Y14</f>
        <v>47.1598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0078125" defaultRowHeight="15" customHeight="false" zeroHeight="false" outlineLevelRow="0" outlineLevelCol="0"/>
  <cols>
    <col collapsed="false" customWidth="true" hidden="false" outlineLevel="0" max="1" min="1" style="0" width="28.71"/>
    <col collapsed="false" customWidth="true" hidden="false" outlineLevel="0" max="2" min="2" style="0" width="100.71"/>
  </cols>
  <sheetData>
    <row r="1" customFormat="false" ht="15" hidden="false" customHeight="false" outlineLevel="0" collapsed="false">
      <c r="A1" s="3" t="s">
        <v>43</v>
      </c>
      <c r="B1" s="3" t="s">
        <v>44</v>
      </c>
    </row>
    <row r="2" customFormat="false" ht="15" hidden="false" customHeight="false" outlineLevel="0" collapsed="false">
      <c r="A2" s="0" t="s">
        <v>11</v>
      </c>
      <c r="B2" s="0" t="s">
        <v>45</v>
      </c>
    </row>
    <row r="3" customFormat="false" ht="15" hidden="false" customHeight="false" outlineLevel="0" collapsed="false">
      <c r="A3" s="0" t="s">
        <v>12</v>
      </c>
      <c r="B3" s="0" t="s">
        <v>46</v>
      </c>
    </row>
    <row r="4" customFormat="false" ht="15" hidden="false" customHeight="false" outlineLevel="0" collapsed="false">
      <c r="A4" s="0" t="s">
        <v>13</v>
      </c>
      <c r="B4" s="0" t="s">
        <v>47</v>
      </c>
    </row>
    <row r="5" customFormat="false" ht="15" hidden="false" customHeight="false" outlineLevel="0" collapsed="false">
      <c r="A5" s="0" t="s">
        <v>14</v>
      </c>
      <c r="B5" s="0" t="s">
        <v>48</v>
      </c>
    </row>
    <row r="6" customFormat="false" ht="15" hidden="false" customHeight="false" outlineLevel="0" collapsed="false">
      <c r="A6" s="0" t="s">
        <v>49</v>
      </c>
      <c r="B6" s="0" t="s">
        <v>50</v>
      </c>
    </row>
    <row r="7" customFormat="false" ht="15" hidden="false" customHeight="false" outlineLevel="0" collapsed="false">
      <c r="A7" s="0" t="s">
        <v>3</v>
      </c>
      <c r="B7" s="0" t="s">
        <v>51</v>
      </c>
    </row>
    <row r="8" customFormat="false" ht="15" hidden="false" customHeight="false" outlineLevel="0" collapsed="false">
      <c r="A8" s="0" t="s">
        <v>52</v>
      </c>
      <c r="B8" s="0" t="s">
        <v>53</v>
      </c>
    </row>
    <row r="9" customFormat="false" ht="15" hidden="false" customHeight="false" outlineLevel="0" collapsed="false">
      <c r="A9" s="0" t="s">
        <v>9</v>
      </c>
      <c r="B9" s="0" t="s">
        <v>54</v>
      </c>
    </row>
    <row r="10" customFormat="false" ht="15" hidden="false" customHeight="false" outlineLevel="0" collapsed="false">
      <c r="A10" s="0" t="s">
        <v>28</v>
      </c>
      <c r="B10" s="0" t="s">
        <v>55</v>
      </c>
    </row>
    <row r="11" customFormat="false" ht="15" hidden="false" customHeight="false" outlineLevel="0" collapsed="false">
      <c r="A11" s="0" t="s">
        <v>56</v>
      </c>
      <c r="B11" s="0" t="s">
        <v>57</v>
      </c>
    </row>
    <row r="12" customFormat="false" ht="15" hidden="false" customHeight="false" outlineLevel="0" collapsed="false">
      <c r="A12" s="0" t="s">
        <v>58</v>
      </c>
      <c r="B12" s="0" t="s">
        <v>59</v>
      </c>
    </row>
    <row r="13" customFormat="false" ht="15" hidden="false" customHeight="false" outlineLevel="0" collapsed="false">
      <c r="A13" s="0" t="s">
        <v>6</v>
      </c>
      <c r="B13" s="0" t="s">
        <v>60</v>
      </c>
    </row>
    <row r="14" customFormat="false" ht="15" hidden="false" customHeight="false" outlineLevel="0" collapsed="false">
      <c r="A14" s="0" t="s">
        <v>61</v>
      </c>
      <c r="B14" s="0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0078125" defaultRowHeight="15" customHeight="false" zeroHeight="false" outlineLevelRow="0" outlineLevelCol="0"/>
  <cols>
    <col collapsed="false" customWidth="true" hidden="false" outlineLevel="0" max="1" min="1" style="0" width="34.71"/>
    <col collapsed="false" customWidth="true" hidden="false" outlineLevel="0" max="2" min="2" style="0" width="22.71"/>
  </cols>
  <sheetData>
    <row r="1" customFormat="false" ht="15" hidden="false" customHeight="false" outlineLevel="0" collapsed="false">
      <c r="A1" s="3" t="s">
        <v>63</v>
      </c>
      <c r="B1" s="3" t="s">
        <v>64</v>
      </c>
    </row>
    <row r="2" customFormat="false" ht="15" hidden="false" customHeight="false" outlineLevel="0" collapsed="false">
      <c r="A2" s="0" t="s">
        <v>65</v>
      </c>
      <c r="B2" s="0" t="n">
        <v>0.25</v>
      </c>
    </row>
    <row r="3" customFormat="false" ht="15" hidden="false" customHeight="false" outlineLevel="0" collapsed="false">
      <c r="A3" s="0" t="s">
        <v>66</v>
      </c>
      <c r="B3" s="0" t="n">
        <v>0.36</v>
      </c>
    </row>
    <row r="4" customFormat="false" ht="15" hidden="false" customHeight="false" outlineLevel="0" collapsed="false">
      <c r="A4" s="0" t="s">
        <v>67</v>
      </c>
      <c r="B4" s="0" t="n">
        <v>0.424</v>
      </c>
    </row>
    <row r="5" customFormat="false" ht="15" hidden="false" customHeight="false" outlineLevel="0" collapsed="false">
      <c r="A5" s="0" t="s">
        <v>68</v>
      </c>
      <c r="B5" s="0" t="n">
        <v>0.428</v>
      </c>
    </row>
    <row r="6" customFormat="false" ht="15" hidden="false" customHeight="false" outlineLevel="0" collapsed="false">
      <c r="A6" s="0" t="s">
        <v>69</v>
      </c>
      <c r="B6" s="0" t="n">
        <v>0.458</v>
      </c>
    </row>
    <row r="7" customFormat="false" ht="15" hidden="false" customHeight="false" outlineLevel="0" collapsed="false">
      <c r="A7" s="0" t="s">
        <v>70</v>
      </c>
      <c r="B7" s="0" t="n">
        <v>0.492</v>
      </c>
    </row>
    <row r="8" customFormat="false" ht="15" hidden="false" customHeight="false" outlineLevel="0" collapsed="false">
      <c r="A8" s="0" t="s">
        <v>71</v>
      </c>
      <c r="B8" s="0" t="n">
        <v>0.5</v>
      </c>
    </row>
    <row r="9" customFormat="false" ht="15" hidden="false" customHeight="false" outlineLevel="0" collapsed="false">
      <c r="A9" s="0" t="s">
        <v>72</v>
      </c>
      <c r="B9" s="0" t="n">
        <v>0.51</v>
      </c>
    </row>
    <row r="10" customFormat="false" ht="15" hidden="false" customHeight="false" outlineLevel="0" collapsed="false">
      <c r="A10" s="0" t="s">
        <v>73</v>
      </c>
      <c r="B10" s="0" t="n">
        <v>0.536</v>
      </c>
    </row>
    <row r="11" customFormat="false" ht="15" hidden="false" customHeight="false" outlineLevel="0" collapsed="false">
      <c r="A11" s="0" t="s">
        <v>74</v>
      </c>
      <c r="B11" s="0" t="n">
        <v>0.57</v>
      </c>
    </row>
    <row r="12" customFormat="false" ht="15" hidden="false" customHeight="false" outlineLevel="0" collapsed="false">
      <c r="A12" s="0" t="s">
        <v>75</v>
      </c>
      <c r="B12" s="0" t="n">
        <v>0.577</v>
      </c>
    </row>
    <row r="13" customFormat="false" ht="15" hidden="false" customHeight="false" outlineLevel="0" collapsed="false">
      <c r="A13" s="0" t="s">
        <v>76</v>
      </c>
      <c r="B13" s="0" t="n">
        <v>0.582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2026-07-26T06:40:18Z</dcterms:created>
  <dc:creator>mrkma</dc:creator>
  <dc:description/>
  <dc:language>en-US</dc:language>
  <cp:lastModifiedBy>mrkma</cp:lastModifiedBy>
  <cp:revision>0</cp:revision>
  <dc:subject/>
  <dc:title/>
</cp:coreProperties>
</file>