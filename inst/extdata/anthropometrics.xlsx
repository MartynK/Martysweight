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770e11f011a8c48/DKM/Stats_R/R/Martysweight/inst/extdata/"/>
    </mc:Choice>
  </mc:AlternateContent>
  <xr:revisionPtr revIDLastSave="5" documentId="11_F25DC773A252ABDACC10488941194EA45BDE58E8" xr6:coauthVersionLast="47" xr6:coauthVersionMax="47" xr10:uidLastSave="{6F503581-865A-4762-B17B-9ADB8B090286}"/>
  <bookViews>
    <workbookView xWindow="-110" yWindow="-110" windowWidth="29020" windowHeight="25100" xr2:uid="{00000000-000D-0000-FFFF-FFFF00000000}"/>
  </bookViews>
  <sheets>
    <sheet name="Anthropometrics" sheetId="2" r:id="rId1"/>
  </sheets>
  <externalReferences>
    <externalReference r:id="rId2"/>
    <externalReference r:id="rId3"/>
  </externalReferences>
  <definedNames>
    <definedName name="___Vo2">'[1]Critical Power'!#REF!</definedName>
    <definedName name="__Vo2">#REF!</definedName>
    <definedName name="_Vo2">'[1]Critical Power'!#REF!</definedName>
    <definedName name="Bpm">#REF!</definedName>
    <definedName name="Élet">#REF!</definedName>
    <definedName name="HRm">#REF!</definedName>
    <definedName name="HRMaxB">#REF!</definedName>
    <definedName name="HRMaxF">#REF!</definedName>
    <definedName name="HRMaxU">#REF!</definedName>
    <definedName name="HRMin">#REF!</definedName>
    <definedName name="Hrr">#REF!</definedName>
    <definedName name="Hrreserve">#REF!</definedName>
    <definedName name="Magasság" localSheetId="0">Anthropometrics!$C$4</definedName>
    <definedName name="Magasság">#REF!</definedName>
    <definedName name="rHR">[2]HRR!$B$1</definedName>
    <definedName name="T">#REF!</definedName>
    <definedName name="testsuly" localSheetId="0">#REF!</definedName>
    <definedName name="testsuly">#REF!</definedName>
    <definedName name="Vo2Max">#REF!</definedName>
    <definedName name="Vo2min">#REF!</definedName>
    <definedName name="Vo2R">'[1]Critical Power'!#REF!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2" l="1"/>
  <c r="O33" i="2" s="1"/>
  <c r="O34" i="2" s="1"/>
  <c r="O35" i="2" s="1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M31" i="2"/>
  <c r="L31" i="2"/>
  <c r="K31" i="2"/>
  <c r="G31" i="2"/>
  <c r="D31" i="2"/>
  <c r="CS30" i="2"/>
  <c r="CS32" i="2" s="1"/>
  <c r="CS33" i="2" s="1"/>
  <c r="CS34" i="2" s="1"/>
  <c r="CS35" i="2" s="1"/>
  <c r="CR30" i="2"/>
  <c r="CR32" i="2" s="1"/>
  <c r="CR33" i="2" s="1"/>
  <c r="CR34" i="2" s="1"/>
  <c r="CR35" i="2" s="1"/>
  <c r="CI30" i="2"/>
  <c r="CI32" i="2" s="1"/>
  <c r="CI33" i="2" s="1"/>
  <c r="CI34" i="2" s="1"/>
  <c r="CI35" i="2" s="1"/>
  <c r="CH30" i="2"/>
  <c r="CH32" i="2" s="1"/>
  <c r="CH33" i="2" s="1"/>
  <c r="CH34" i="2" s="1"/>
  <c r="CH35" i="2" s="1"/>
  <c r="CG30" i="2"/>
  <c r="CG32" i="2" s="1"/>
  <c r="CG33" i="2" s="1"/>
  <c r="CG34" i="2" s="1"/>
  <c r="CG35" i="2" s="1"/>
  <c r="CF30" i="2"/>
  <c r="CF32" i="2" s="1"/>
  <c r="CF33" i="2" s="1"/>
  <c r="CF34" i="2" s="1"/>
  <c r="CF35" i="2" s="1"/>
  <c r="BW30" i="2"/>
  <c r="BW32" i="2" s="1"/>
  <c r="BW33" i="2" s="1"/>
  <c r="BW34" i="2" s="1"/>
  <c r="BW35" i="2" s="1"/>
  <c r="BV30" i="2"/>
  <c r="BV32" i="2" s="1"/>
  <c r="BV33" i="2" s="1"/>
  <c r="BV34" i="2" s="1"/>
  <c r="BV35" i="2" s="1"/>
  <c r="BU30" i="2"/>
  <c r="BU32" i="2" s="1"/>
  <c r="BU33" i="2" s="1"/>
  <c r="BU34" i="2" s="1"/>
  <c r="BU35" i="2" s="1"/>
  <c r="BT30" i="2"/>
  <c r="BT32" i="2" s="1"/>
  <c r="BT33" i="2" s="1"/>
  <c r="BT34" i="2" s="1"/>
  <c r="BT35" i="2" s="1"/>
  <c r="BK30" i="2"/>
  <c r="BK32" i="2" s="1"/>
  <c r="BK33" i="2" s="1"/>
  <c r="BK34" i="2" s="1"/>
  <c r="BK35" i="2" s="1"/>
  <c r="BJ30" i="2"/>
  <c r="BJ32" i="2" s="1"/>
  <c r="BJ33" i="2" s="1"/>
  <c r="BJ34" i="2" s="1"/>
  <c r="BJ35" i="2" s="1"/>
  <c r="BI30" i="2"/>
  <c r="BI32" i="2" s="1"/>
  <c r="BI33" i="2" s="1"/>
  <c r="BI34" i="2" s="1"/>
  <c r="BI35" i="2" s="1"/>
  <c r="BH30" i="2"/>
  <c r="BH32" i="2" s="1"/>
  <c r="BH33" i="2" s="1"/>
  <c r="BH34" i="2" s="1"/>
  <c r="BH35" i="2" s="1"/>
  <c r="AY30" i="2"/>
  <c r="AY32" i="2" s="1"/>
  <c r="AY33" i="2" s="1"/>
  <c r="AY34" i="2" s="1"/>
  <c r="AY35" i="2" s="1"/>
  <c r="AX30" i="2"/>
  <c r="AX32" i="2" s="1"/>
  <c r="AX33" i="2" s="1"/>
  <c r="AX34" i="2" s="1"/>
  <c r="AX35" i="2" s="1"/>
  <c r="AW30" i="2"/>
  <c r="AW32" i="2" s="1"/>
  <c r="AW33" i="2" s="1"/>
  <c r="AW34" i="2" s="1"/>
  <c r="AW35" i="2" s="1"/>
  <c r="AV30" i="2"/>
  <c r="AV32" i="2" s="1"/>
  <c r="AV33" i="2" s="1"/>
  <c r="AV34" i="2" s="1"/>
  <c r="AV35" i="2" s="1"/>
  <c r="AM30" i="2"/>
  <c r="AM32" i="2" s="1"/>
  <c r="AM33" i="2" s="1"/>
  <c r="AM34" i="2" s="1"/>
  <c r="AM35" i="2" s="1"/>
  <c r="AL30" i="2"/>
  <c r="AL32" i="2" s="1"/>
  <c r="AL33" i="2" s="1"/>
  <c r="AL34" i="2" s="1"/>
  <c r="AL35" i="2" s="1"/>
  <c r="AK30" i="2"/>
  <c r="AK32" i="2" s="1"/>
  <c r="AK33" i="2" s="1"/>
  <c r="AK34" i="2" s="1"/>
  <c r="AK35" i="2" s="1"/>
  <c r="AJ30" i="2"/>
  <c r="AJ32" i="2" s="1"/>
  <c r="AJ33" i="2" s="1"/>
  <c r="AJ34" i="2" s="1"/>
  <c r="AJ35" i="2" s="1"/>
  <c r="AA30" i="2"/>
  <c r="AA32" i="2" s="1"/>
  <c r="AA33" i="2" s="1"/>
  <c r="AA34" i="2" s="1"/>
  <c r="AA35" i="2" s="1"/>
  <c r="Z30" i="2"/>
  <c r="Z32" i="2" s="1"/>
  <c r="Z33" i="2" s="1"/>
  <c r="Z34" i="2" s="1"/>
  <c r="Z35" i="2" s="1"/>
  <c r="Y30" i="2"/>
  <c r="Y32" i="2" s="1"/>
  <c r="Y33" i="2" s="1"/>
  <c r="Y34" i="2" s="1"/>
  <c r="Y35" i="2" s="1"/>
  <c r="X30" i="2"/>
  <c r="X32" i="2" s="1"/>
  <c r="X33" i="2" s="1"/>
  <c r="X34" i="2" s="1"/>
  <c r="X35" i="2" s="1"/>
  <c r="V30" i="2"/>
  <c r="V32" i="2" s="1"/>
  <c r="V33" i="2" s="1"/>
  <c r="V34" i="2" s="1"/>
  <c r="V35" i="2" s="1"/>
  <c r="O30" i="2"/>
  <c r="M30" i="2"/>
  <c r="M32" i="2" s="1"/>
  <c r="M33" i="2" s="1"/>
  <c r="M34" i="2" s="1"/>
  <c r="M35" i="2" s="1"/>
  <c r="L30" i="2"/>
  <c r="L32" i="2" s="1"/>
  <c r="L33" i="2" s="1"/>
  <c r="L34" i="2" s="1"/>
  <c r="L35" i="2" s="1"/>
  <c r="K30" i="2"/>
  <c r="K32" i="2" s="1"/>
  <c r="K33" i="2" s="1"/>
  <c r="K34" i="2" s="1"/>
  <c r="K35" i="2" s="1"/>
  <c r="G30" i="2"/>
  <c r="G32" i="2" s="1"/>
  <c r="G33" i="2" s="1"/>
  <c r="G34" i="2" s="1"/>
  <c r="G35" i="2" s="1"/>
  <c r="CQ29" i="2"/>
  <c r="CP29" i="2"/>
  <c r="CM29" i="2"/>
  <c r="CE29" i="2"/>
  <c r="CD29" i="2"/>
  <c r="CA29" i="2"/>
  <c r="BS29" i="2"/>
  <c r="BR29" i="2"/>
  <c r="BO29" i="2"/>
  <c r="BG29" i="2"/>
  <c r="BF29" i="2"/>
  <c r="BC29" i="2"/>
  <c r="AU29" i="2"/>
  <c r="AT29" i="2"/>
  <c r="AQ29" i="2"/>
  <c r="AI29" i="2"/>
  <c r="AH29" i="2"/>
  <c r="AD29" i="2"/>
  <c r="D29" i="2"/>
  <c r="C29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M28" i="2"/>
  <c r="L28" i="2"/>
  <c r="K28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D27" i="2"/>
  <c r="B27" i="2"/>
  <c r="CS8" i="2"/>
  <c r="CS29" i="2" s="1"/>
  <c r="CR8" i="2"/>
  <c r="CR29" i="2" s="1"/>
  <c r="CQ8" i="2"/>
  <c r="CQ30" i="2" s="1"/>
  <c r="CQ32" i="2" s="1"/>
  <c r="CQ33" i="2" s="1"/>
  <c r="CQ34" i="2" s="1"/>
  <c r="CQ35" i="2" s="1"/>
  <c r="CP8" i="2"/>
  <c r="CP30" i="2" s="1"/>
  <c r="CP32" i="2" s="1"/>
  <c r="CP33" i="2" s="1"/>
  <c r="CP34" i="2" s="1"/>
  <c r="CP35" i="2" s="1"/>
  <c r="CO8" i="2"/>
  <c r="CO29" i="2" s="1"/>
  <c r="CN8" i="2"/>
  <c r="CN29" i="2" s="1"/>
  <c r="CM8" i="2"/>
  <c r="CM30" i="2" s="1"/>
  <c r="CM32" i="2" s="1"/>
  <c r="CM33" i="2" s="1"/>
  <c r="CM34" i="2" s="1"/>
  <c r="CM35" i="2" s="1"/>
  <c r="CL8" i="2"/>
  <c r="CL29" i="2" s="1"/>
  <c r="CK8" i="2"/>
  <c r="CK30" i="2" s="1"/>
  <c r="CK32" i="2" s="1"/>
  <c r="CK33" i="2" s="1"/>
  <c r="CK34" i="2" s="1"/>
  <c r="CK35" i="2" s="1"/>
  <c r="CJ8" i="2"/>
  <c r="CJ30" i="2" s="1"/>
  <c r="CJ32" i="2" s="1"/>
  <c r="CJ33" i="2" s="1"/>
  <c r="CJ34" i="2" s="1"/>
  <c r="CJ35" i="2" s="1"/>
  <c r="CI8" i="2"/>
  <c r="CI29" i="2" s="1"/>
  <c r="CH8" i="2"/>
  <c r="CH29" i="2" s="1"/>
  <c r="CG8" i="2"/>
  <c r="CG29" i="2" s="1"/>
  <c r="CF8" i="2"/>
  <c r="CF29" i="2" s="1"/>
  <c r="CE8" i="2"/>
  <c r="CE30" i="2" s="1"/>
  <c r="CE32" i="2" s="1"/>
  <c r="CE33" i="2" s="1"/>
  <c r="CE34" i="2" s="1"/>
  <c r="CE35" i="2" s="1"/>
  <c r="CD8" i="2"/>
  <c r="CD30" i="2" s="1"/>
  <c r="CD32" i="2" s="1"/>
  <c r="CD33" i="2" s="1"/>
  <c r="CD34" i="2" s="1"/>
  <c r="CD35" i="2" s="1"/>
  <c r="CC8" i="2"/>
  <c r="CC29" i="2" s="1"/>
  <c r="CB8" i="2"/>
  <c r="CB29" i="2" s="1"/>
  <c r="CA8" i="2"/>
  <c r="CA30" i="2" s="1"/>
  <c r="CA32" i="2" s="1"/>
  <c r="CA33" i="2" s="1"/>
  <c r="CA34" i="2" s="1"/>
  <c r="CA35" i="2" s="1"/>
  <c r="BZ8" i="2"/>
  <c r="BZ29" i="2" s="1"/>
  <c r="BY8" i="2"/>
  <c r="BY30" i="2" s="1"/>
  <c r="BY32" i="2" s="1"/>
  <c r="BY33" i="2" s="1"/>
  <c r="BY34" i="2" s="1"/>
  <c r="BY35" i="2" s="1"/>
  <c r="BX8" i="2"/>
  <c r="BX30" i="2" s="1"/>
  <c r="BX32" i="2" s="1"/>
  <c r="BX33" i="2" s="1"/>
  <c r="BX34" i="2" s="1"/>
  <c r="BX35" i="2" s="1"/>
  <c r="BW8" i="2"/>
  <c r="BW29" i="2" s="1"/>
  <c r="BV8" i="2"/>
  <c r="BV29" i="2" s="1"/>
  <c r="BU8" i="2"/>
  <c r="BU29" i="2" s="1"/>
  <c r="BT8" i="2"/>
  <c r="BT29" i="2" s="1"/>
  <c r="BS8" i="2"/>
  <c r="BS30" i="2" s="1"/>
  <c r="BS32" i="2" s="1"/>
  <c r="BS33" i="2" s="1"/>
  <c r="BS34" i="2" s="1"/>
  <c r="BS35" i="2" s="1"/>
  <c r="BR8" i="2"/>
  <c r="BR30" i="2" s="1"/>
  <c r="BR32" i="2" s="1"/>
  <c r="BR33" i="2" s="1"/>
  <c r="BR34" i="2" s="1"/>
  <c r="BR35" i="2" s="1"/>
  <c r="BQ8" i="2"/>
  <c r="BQ29" i="2" s="1"/>
  <c r="BP8" i="2"/>
  <c r="BP29" i="2" s="1"/>
  <c r="BO8" i="2"/>
  <c r="BO30" i="2" s="1"/>
  <c r="BO32" i="2" s="1"/>
  <c r="BO33" i="2" s="1"/>
  <c r="BO34" i="2" s="1"/>
  <c r="BO35" i="2" s="1"/>
  <c r="BN8" i="2"/>
  <c r="BN29" i="2" s="1"/>
  <c r="BM8" i="2"/>
  <c r="BM30" i="2" s="1"/>
  <c r="BM32" i="2" s="1"/>
  <c r="BM33" i="2" s="1"/>
  <c r="BM34" i="2" s="1"/>
  <c r="BM35" i="2" s="1"/>
  <c r="BL8" i="2"/>
  <c r="BL30" i="2" s="1"/>
  <c r="BL32" i="2" s="1"/>
  <c r="BL33" i="2" s="1"/>
  <c r="BL34" i="2" s="1"/>
  <c r="BL35" i="2" s="1"/>
  <c r="BK8" i="2"/>
  <c r="BK29" i="2" s="1"/>
  <c r="BJ8" i="2"/>
  <c r="BJ29" i="2" s="1"/>
  <c r="BI8" i="2"/>
  <c r="BI29" i="2" s="1"/>
  <c r="BH8" i="2"/>
  <c r="BH29" i="2" s="1"/>
  <c r="BG8" i="2"/>
  <c r="BG30" i="2" s="1"/>
  <c r="BG32" i="2" s="1"/>
  <c r="BG33" i="2" s="1"/>
  <c r="BG34" i="2" s="1"/>
  <c r="BG35" i="2" s="1"/>
  <c r="BF8" i="2"/>
  <c r="BF30" i="2" s="1"/>
  <c r="BF32" i="2" s="1"/>
  <c r="BF33" i="2" s="1"/>
  <c r="BF34" i="2" s="1"/>
  <c r="BF35" i="2" s="1"/>
  <c r="BE8" i="2"/>
  <c r="BE29" i="2" s="1"/>
  <c r="BD8" i="2"/>
  <c r="BD29" i="2" s="1"/>
  <c r="BC8" i="2"/>
  <c r="BC30" i="2" s="1"/>
  <c r="BC32" i="2" s="1"/>
  <c r="BC33" i="2" s="1"/>
  <c r="BC34" i="2" s="1"/>
  <c r="BC35" i="2" s="1"/>
  <c r="BB8" i="2"/>
  <c r="BB29" i="2" s="1"/>
  <c r="BA8" i="2"/>
  <c r="BA30" i="2" s="1"/>
  <c r="BA32" i="2" s="1"/>
  <c r="BA33" i="2" s="1"/>
  <c r="BA34" i="2" s="1"/>
  <c r="BA35" i="2" s="1"/>
  <c r="AZ8" i="2"/>
  <c r="AZ30" i="2" s="1"/>
  <c r="AZ32" i="2" s="1"/>
  <c r="AZ33" i="2" s="1"/>
  <c r="AZ34" i="2" s="1"/>
  <c r="AZ35" i="2" s="1"/>
  <c r="AY8" i="2"/>
  <c r="AY29" i="2" s="1"/>
  <c r="AX8" i="2"/>
  <c r="AX29" i="2" s="1"/>
  <c r="AW8" i="2"/>
  <c r="AW29" i="2" s="1"/>
  <c r="AV8" i="2"/>
  <c r="AV29" i="2" s="1"/>
  <c r="AU8" i="2"/>
  <c r="AU30" i="2" s="1"/>
  <c r="AU32" i="2" s="1"/>
  <c r="AU33" i="2" s="1"/>
  <c r="AU34" i="2" s="1"/>
  <c r="AU35" i="2" s="1"/>
  <c r="AT8" i="2"/>
  <c r="AT30" i="2" s="1"/>
  <c r="AT32" i="2" s="1"/>
  <c r="AT33" i="2" s="1"/>
  <c r="AT34" i="2" s="1"/>
  <c r="AT35" i="2" s="1"/>
  <c r="AS8" i="2"/>
  <c r="AS29" i="2" s="1"/>
  <c r="AR8" i="2"/>
  <c r="AR29" i="2" s="1"/>
  <c r="AQ8" i="2"/>
  <c r="AQ30" i="2" s="1"/>
  <c r="AQ32" i="2" s="1"/>
  <c r="AQ33" i="2" s="1"/>
  <c r="AQ34" i="2" s="1"/>
  <c r="AQ35" i="2" s="1"/>
  <c r="AP8" i="2"/>
  <c r="AP29" i="2" s="1"/>
  <c r="AO8" i="2"/>
  <c r="AO30" i="2" s="1"/>
  <c r="AO32" i="2" s="1"/>
  <c r="AO33" i="2" s="1"/>
  <c r="AO34" i="2" s="1"/>
  <c r="AO35" i="2" s="1"/>
  <c r="AN8" i="2"/>
  <c r="AN30" i="2" s="1"/>
  <c r="AN32" i="2" s="1"/>
  <c r="AN33" i="2" s="1"/>
  <c r="AN34" i="2" s="1"/>
  <c r="AN35" i="2" s="1"/>
  <c r="AM8" i="2"/>
  <c r="AM29" i="2" s="1"/>
  <c r="AL8" i="2"/>
  <c r="AL29" i="2" s="1"/>
  <c r="AK8" i="2"/>
  <c r="AK29" i="2" s="1"/>
  <c r="AJ8" i="2"/>
  <c r="AJ29" i="2" s="1"/>
  <c r="AI8" i="2"/>
  <c r="AI30" i="2" s="1"/>
  <c r="AI32" i="2" s="1"/>
  <c r="AI33" i="2" s="1"/>
  <c r="AI34" i="2" s="1"/>
  <c r="AI35" i="2" s="1"/>
  <c r="AH8" i="2"/>
  <c r="AH30" i="2" s="1"/>
  <c r="AH32" i="2" s="1"/>
  <c r="AH33" i="2" s="1"/>
  <c r="AH34" i="2" s="1"/>
  <c r="AH35" i="2" s="1"/>
  <c r="AG8" i="2"/>
  <c r="AF8" i="2"/>
  <c r="AF29" i="2" s="1"/>
  <c r="AE8" i="2"/>
  <c r="AE29" i="2" s="1"/>
  <c r="AD8" i="2"/>
  <c r="AD30" i="2" s="1"/>
  <c r="AD32" i="2" s="1"/>
  <c r="AD33" i="2" s="1"/>
  <c r="AD34" i="2" s="1"/>
  <c r="AD35" i="2" s="1"/>
  <c r="AC8" i="2"/>
  <c r="AC29" i="2" s="1"/>
  <c r="AB8" i="2"/>
  <c r="AB30" i="2" s="1"/>
  <c r="AB32" i="2" s="1"/>
  <c r="AB33" i="2" s="1"/>
  <c r="AB34" i="2" s="1"/>
  <c r="AB35" i="2" s="1"/>
  <c r="AA8" i="2"/>
  <c r="AA29" i="2" s="1"/>
  <c r="Z8" i="2"/>
  <c r="Z29" i="2" s="1"/>
  <c r="Y8" i="2"/>
  <c r="Y29" i="2" s="1"/>
  <c r="X8" i="2"/>
  <c r="X29" i="2" s="1"/>
  <c r="W8" i="2"/>
  <c r="V8" i="2"/>
  <c r="V29" i="2" s="1"/>
  <c r="U8" i="2"/>
  <c r="U29" i="2" s="1"/>
  <c r="T8" i="2"/>
  <c r="T29" i="2" s="1"/>
  <c r="S8" i="2"/>
  <c r="S29" i="2" s="1"/>
  <c r="R8" i="2"/>
  <c r="R29" i="2" s="1"/>
  <c r="Q8" i="2"/>
  <c r="Q29" i="2" s="1"/>
  <c r="P8" i="2"/>
  <c r="P29" i="2" s="1"/>
  <c r="O8" i="2"/>
  <c r="O29" i="2" s="1"/>
  <c r="N8" i="2"/>
  <c r="N29" i="2" s="1"/>
  <c r="M8" i="2"/>
  <c r="M29" i="2" s="1"/>
  <c r="L8" i="2"/>
  <c r="L29" i="2" s="1"/>
  <c r="K8" i="2"/>
  <c r="K29" i="2" s="1"/>
  <c r="J8" i="2"/>
  <c r="J29" i="2" s="1"/>
  <c r="I8" i="2"/>
  <c r="I29" i="2" s="1"/>
  <c r="H8" i="2"/>
  <c r="H29" i="2" s="1"/>
  <c r="G8" i="2"/>
  <c r="G29" i="2" s="1"/>
  <c r="F8" i="2"/>
  <c r="F30" i="2" s="1"/>
  <c r="F32" i="2" s="1"/>
  <c r="F33" i="2" s="1"/>
  <c r="F34" i="2" s="1"/>
  <c r="F35" i="2" s="1"/>
  <c r="E8" i="2"/>
  <c r="E29" i="2" s="1"/>
  <c r="D8" i="2"/>
  <c r="D30" i="2" s="1"/>
  <c r="D32" i="2" s="1"/>
  <c r="D33" i="2" s="1"/>
  <c r="D34" i="2" s="1"/>
  <c r="D35" i="2" s="1"/>
  <c r="C8" i="2"/>
  <c r="C30" i="2" s="1"/>
  <c r="B8" i="2"/>
  <c r="B29" i="2" s="1"/>
  <c r="P30" i="2" l="1"/>
  <c r="P32" i="2" s="1"/>
  <c r="P33" i="2" s="1"/>
  <c r="P34" i="2" s="1"/>
  <c r="P35" i="2" s="1"/>
  <c r="AC30" i="2"/>
  <c r="AC32" i="2" s="1"/>
  <c r="AC33" i="2" s="1"/>
  <c r="AC34" i="2" s="1"/>
  <c r="AC35" i="2" s="1"/>
  <c r="AP30" i="2"/>
  <c r="AP32" i="2" s="1"/>
  <c r="AP33" i="2" s="1"/>
  <c r="AP34" i="2" s="1"/>
  <c r="AP35" i="2" s="1"/>
  <c r="BB30" i="2"/>
  <c r="BB32" i="2" s="1"/>
  <c r="BB33" i="2" s="1"/>
  <c r="BB34" i="2" s="1"/>
  <c r="BB35" i="2" s="1"/>
  <c r="BN30" i="2"/>
  <c r="BN32" i="2" s="1"/>
  <c r="BN33" i="2" s="1"/>
  <c r="BN34" i="2" s="1"/>
  <c r="BN35" i="2" s="1"/>
  <c r="BZ30" i="2"/>
  <c r="BZ32" i="2" s="1"/>
  <c r="CL30" i="2"/>
  <c r="CL32" i="2" s="1"/>
  <c r="CL33" i="2" s="1"/>
  <c r="CL34" i="2" s="1"/>
  <c r="CL35" i="2" s="1"/>
  <c r="Q30" i="2"/>
  <c r="Q32" i="2" s="1"/>
  <c r="Q33" i="2" s="1"/>
  <c r="Q34" i="2" s="1"/>
  <c r="Q35" i="2" s="1"/>
  <c r="B30" i="2"/>
  <c r="B32" i="2" s="1"/>
  <c r="B33" i="2" s="1"/>
  <c r="B34" i="2" s="1"/>
  <c r="B35" i="2" s="1"/>
  <c r="R30" i="2"/>
  <c r="R32" i="2" s="1"/>
  <c r="R33" i="2" s="1"/>
  <c r="R34" i="2" s="1"/>
  <c r="R35" i="2" s="1"/>
  <c r="AE30" i="2"/>
  <c r="AE32" i="2" s="1"/>
  <c r="AE33" i="2" s="1"/>
  <c r="AE34" i="2" s="1"/>
  <c r="AE35" i="2" s="1"/>
  <c r="AR30" i="2"/>
  <c r="AR32" i="2" s="1"/>
  <c r="AR33" i="2" s="1"/>
  <c r="AR34" i="2" s="1"/>
  <c r="AR35" i="2" s="1"/>
  <c r="BD30" i="2"/>
  <c r="BD32" i="2" s="1"/>
  <c r="BD33" i="2" s="1"/>
  <c r="BD34" i="2" s="1"/>
  <c r="BD35" i="2" s="1"/>
  <c r="BP30" i="2"/>
  <c r="BP32" i="2" s="1"/>
  <c r="BP33" i="2" s="1"/>
  <c r="BP34" i="2" s="1"/>
  <c r="BP35" i="2" s="1"/>
  <c r="CB30" i="2"/>
  <c r="CB32" i="2" s="1"/>
  <c r="CB33" i="2" s="1"/>
  <c r="CB34" i="2" s="1"/>
  <c r="CB35" i="2" s="1"/>
  <c r="CN30" i="2"/>
  <c r="CN32" i="2" s="1"/>
  <c r="CN33" i="2" s="1"/>
  <c r="CN34" i="2" s="1"/>
  <c r="CN35" i="2" s="1"/>
  <c r="S30" i="2"/>
  <c r="S32" i="2" s="1"/>
  <c r="S33" i="2" s="1"/>
  <c r="S34" i="2" s="1"/>
  <c r="S35" i="2" s="1"/>
  <c r="AF30" i="2"/>
  <c r="AF32" i="2" s="1"/>
  <c r="AF33" i="2" s="1"/>
  <c r="AF34" i="2" s="1"/>
  <c r="AF35" i="2" s="1"/>
  <c r="AS30" i="2"/>
  <c r="AS32" i="2" s="1"/>
  <c r="AS33" i="2" s="1"/>
  <c r="AS34" i="2" s="1"/>
  <c r="AS35" i="2" s="1"/>
  <c r="BE30" i="2"/>
  <c r="BE32" i="2" s="1"/>
  <c r="BE33" i="2" s="1"/>
  <c r="BE34" i="2" s="1"/>
  <c r="BE35" i="2" s="1"/>
  <c r="BQ30" i="2"/>
  <c r="BQ32" i="2" s="1"/>
  <c r="BQ33" i="2" s="1"/>
  <c r="BQ34" i="2" s="1"/>
  <c r="BQ35" i="2" s="1"/>
  <c r="CC30" i="2"/>
  <c r="CC32" i="2" s="1"/>
  <c r="CC33" i="2" s="1"/>
  <c r="CC34" i="2" s="1"/>
  <c r="CC35" i="2" s="1"/>
  <c r="CO30" i="2"/>
  <c r="CO32" i="2" s="1"/>
  <c r="CO33" i="2" s="1"/>
  <c r="CO34" i="2" s="1"/>
  <c r="CO35" i="2" s="1"/>
  <c r="AN29" i="2"/>
  <c r="AZ29" i="2"/>
  <c r="BL29" i="2"/>
  <c r="BX29" i="2"/>
  <c r="CJ29" i="2"/>
  <c r="T30" i="2"/>
  <c r="T32" i="2" s="1"/>
  <c r="T33" i="2" s="1"/>
  <c r="T34" i="2" s="1"/>
  <c r="T35" i="2" s="1"/>
  <c r="AB29" i="2"/>
  <c r="AO29" i="2"/>
  <c r="BA29" i="2"/>
  <c r="BM29" i="2"/>
  <c r="BY29" i="2"/>
  <c r="CK29" i="2"/>
  <c r="E30" i="2"/>
  <c r="U30" i="2"/>
  <c r="U32" i="2" s="1"/>
  <c r="U33" i="2" s="1"/>
  <c r="U34" i="2" s="1"/>
  <c r="U35" i="2" s="1"/>
  <c r="CM37" i="2" l="1"/>
  <c r="CA37" i="2"/>
  <c r="CL37" i="2"/>
  <c r="CK37" i="2"/>
  <c r="CJ37" i="2"/>
  <c r="CI37" i="2"/>
  <c r="CH37" i="2"/>
  <c r="CS37" i="2"/>
  <c r="CG37" i="2"/>
  <c r="CR37" i="2"/>
  <c r="CF37" i="2"/>
  <c r="CQ37" i="2"/>
  <c r="CE37" i="2"/>
  <c r="CP37" i="2"/>
  <c r="CD37" i="2"/>
  <c r="CO37" i="2"/>
  <c r="CC37" i="2"/>
  <c r="CN37" i="2"/>
  <c r="CB37" i="2"/>
  <c r="BZ33" i="2"/>
  <c r="CH36" i="2" l="1"/>
  <c r="CS36" i="2"/>
  <c r="CG36" i="2"/>
  <c r="CP36" i="2"/>
  <c r="CR36" i="2"/>
  <c r="CF36" i="2"/>
  <c r="CD36" i="2"/>
  <c r="CQ36" i="2"/>
  <c r="CE36" i="2"/>
  <c r="CO36" i="2"/>
  <c r="CC36" i="2"/>
  <c r="CN36" i="2"/>
  <c r="CB36" i="2"/>
  <c r="CM36" i="2"/>
  <c r="CA36" i="2"/>
  <c r="BZ34" i="2"/>
  <c r="BZ35" i="2" s="1"/>
  <c r="CL36" i="2"/>
  <c r="CK36" i="2"/>
  <c r="CJ36" i="2"/>
  <c r="CI36" i="2"/>
</calcChain>
</file>

<file path=xl/sharedStrings.xml><?xml version="1.0" encoding="utf-8"?>
<sst xmlns="http://schemas.openxmlformats.org/spreadsheetml/2006/main" count="99" uniqueCount="62">
  <si>
    <t>NÉV:</t>
  </si>
  <si>
    <t>Marci</t>
  </si>
  <si>
    <t>Születési idő:</t>
  </si>
  <si>
    <t>éééé.hh.nn</t>
  </si>
  <si>
    <t>Nem:</t>
  </si>
  <si>
    <t>(0:nő 1:ffi)</t>
  </si>
  <si>
    <t>Magasság:</t>
  </si>
  <si>
    <t>cm</t>
  </si>
  <si>
    <t>https://www.linear-software.com/body-fat-calculator.html</t>
  </si>
  <si>
    <t>DÁTUM-----&gt;</t>
  </si>
  <si>
    <t>SUBJECTS</t>
  </si>
  <si>
    <t>WAIST-TO-HEIGHT RATIO</t>
  </si>
  <si>
    <t>Életkor</t>
  </si>
  <si>
    <t>Barbie Doll</t>
  </si>
  <si>
    <t>Testtömeg</t>
  </si>
  <si>
    <t>Ken Doll</t>
  </si>
  <si>
    <t>'Has</t>
  </si>
  <si>
    <t>Female College Swimmer</t>
  </si>
  <si>
    <t>*Haskörfogat</t>
  </si>
  <si>
    <t>Male College Swimmer</t>
  </si>
  <si>
    <t>**Csípőkörfogat</t>
  </si>
  <si>
    <t>Body Builder</t>
  </si>
  <si>
    <t>***Nyak körfogat</t>
  </si>
  <si>
    <t>Female at increased risk</t>
  </si>
  <si>
    <t>Comb közép körfogat</t>
  </si>
  <si>
    <t>Alkar körfogat</t>
  </si>
  <si>
    <t>General healthy cutoff</t>
  </si>
  <si>
    <t>ZS: has</t>
  </si>
  <si>
    <t>Risk equivalent to BMI of 25</t>
  </si>
  <si>
    <t>ZS: mell</t>
  </si>
  <si>
    <t>ZS: comb</t>
  </si>
  <si>
    <t>Males at increased risk</t>
  </si>
  <si>
    <t>ZS: biceps</t>
  </si>
  <si>
    <t>.</t>
  </si>
  <si>
    <t>Risk equivalent to BMI of 30</t>
  </si>
  <si>
    <t>ZS: suprailiaca</t>
  </si>
  <si>
    <t>Obese</t>
  </si>
  <si>
    <t>ZS: vádlli</t>
  </si>
  <si>
    <t>Substantial risk increase</t>
  </si>
  <si>
    <t>ZS: triceps</t>
  </si>
  <si>
    <t>ZS: alsó hát</t>
  </si>
  <si>
    <t>ZS: subscapula</t>
  </si>
  <si>
    <t>ZS: midaxillary</t>
  </si>
  <si>
    <t>------------------------</t>
  </si>
  <si>
    <t>-----</t>
  </si>
  <si>
    <t>BMI</t>
  </si>
  <si>
    <t>US.Navy</t>
  </si>
  <si>
    <t>Jackson/Pollock 3</t>
  </si>
  <si>
    <t>Mod.JP3</t>
  </si>
  <si>
    <t>YMCA</t>
  </si>
  <si>
    <t>Zsír</t>
  </si>
  <si>
    <t>nemzsír</t>
  </si>
  <si>
    <t>FFMI (https://ffmicalculator.org/ )</t>
  </si>
  <si>
    <t>FFMI_std (for 1.8m)</t>
  </si>
  <si>
    <t>delta_fat free body mass (2024.01.15)</t>
  </si>
  <si>
    <t>delta_fat mass (2024.01.15)</t>
  </si>
  <si>
    <t>'legszűkebb ponton</t>
  </si>
  <si>
    <t>DEXA: 33.4%</t>
  </si>
  <si>
    <t>*1cm-rel a köldök alatt norm kilégzés után</t>
  </si>
  <si>
    <t>FFMI: 20.5</t>
  </si>
  <si>
    <t>**"fenék"nél</t>
  </si>
  <si>
    <t>***Ádámcsutka alatt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</si>
</sst>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</font>
    <font>
      <sz val="10"/>
      <color indexed="55"/>
      <name val="Arial"/>
    </font>
    <font>
      <sz val="11"/>
      <color rgb="FFFF0000"/>
      <name val="Calibri"/>
      <family val="2"/>
      <charset val="238"/>
      <scheme val="minor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/>
    <xf numFmtId="0" fontId="1" fillId="0" borderId="0" xfId="1"/>
    <xf numFmtId="14" fontId="2" fillId="0" borderId="0" xfId="1" applyNumberFormat="1" applyFont="1"/>
    <xf numFmtId="0" fontId="2" fillId="0" borderId="0" xfId="1" applyFont="1" applyAlignment="1">
      <alignment horizontal="right"/>
    </xf>
    <xf numFmtId="14" fontId="2" fillId="2" borderId="0" xfId="1" applyNumberFormat="1" applyFont="1" applyFill="1"/>
    <xf numFmtId="1" fontId="2" fillId="0" borderId="0" xfId="1" applyNumberFormat="1" applyFont="1"/>
    <xf numFmtId="164" fontId="2" fillId="0" borderId="0" xfId="1" applyNumberFormat="1" applyFont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3" fillId="3" borderId="4" xfId="1" applyFont="1" applyFill="1" applyBorder="1"/>
    <xf numFmtId="0" fontId="2" fillId="0" borderId="5" xfId="1" applyFont="1" applyBorder="1"/>
    <xf numFmtId="0" fontId="2" fillId="4" borderId="0" xfId="1" applyFont="1" applyFill="1"/>
    <xf numFmtId="0" fontId="2" fillId="3" borderId="0" xfId="1" applyFont="1" applyFill="1"/>
    <xf numFmtId="2" fontId="2" fillId="0" borderId="0" xfId="1" applyNumberFormat="1" applyFont="1"/>
    <xf numFmtId="10" fontId="2" fillId="3" borderId="0" xfId="1" applyNumberFormat="1" applyFont="1" applyFill="1"/>
    <xf numFmtId="10" fontId="2" fillId="0" borderId="0" xfId="1" applyNumberFormat="1" applyFont="1"/>
    <xf numFmtId="0" fontId="2" fillId="5" borderId="0" xfId="1" applyFont="1" applyFill="1"/>
    <xf numFmtId="10" fontId="2" fillId="5" borderId="0" xfId="1" applyNumberFormat="1" applyFont="1" applyFill="1"/>
    <xf numFmtId="0" fontId="4" fillId="0" borderId="0" xfId="1" applyFont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5" fillId="0" borderId="0" xfId="1" applyFont="1"/>
    <xf numFmtId="10" fontId="2" fillId="6" borderId="0" xfId="1" applyNumberFormat="1" applyFont="1" applyFill="1"/>
    <xf numFmtId="0" fontId="2" fillId="6" borderId="0" xfId="1" applyFont="1" applyFill="1"/>
    <xf numFmtId="9" fontId="2" fillId="0" borderId="0" xfId="1" applyNumberFormat="1" applyFont="1"/>
    <xf numFmtId="2" fontId="2" fillId="6" borderId="0" xfId="1" applyNumberFormat="1" applyFont="1" applyFill="1"/>
    <xf numFmtId="0" fontId="2" fillId="0" borderId="10" xfId="1" applyFont="1" applyBorder="1"/>
    <xf numFmtId="0" fontId="2" fillId="0" borderId="11" xfId="1" applyFont="1" applyBorder="1"/>
  </cellXfs>
  <cellStyles count="2">
    <cellStyle name="Normal" xfId="0" builtinId="0"/>
    <cellStyle name="Normal 2" xfId="1" xr:uid="{2B16B831-9FC2-435B-A5CA-2D20E87D1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808719137916323E-2"/>
          <c:y val="9.627343791464163E-2"/>
          <c:w val="0.70462159753635212"/>
          <c:h val="0.76087071900281378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Anthropometrics!$B$7:$AS$7</c:f>
              <c:numCache>
                <c:formatCode>m/d/yyyy</c:formatCode>
                <c:ptCount val="44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  <c:pt idx="36">
                  <c:v>42018</c:v>
                </c:pt>
                <c:pt idx="37">
                  <c:v>42240</c:v>
                </c:pt>
                <c:pt idx="38">
                  <c:v>42281</c:v>
                </c:pt>
                <c:pt idx="39">
                  <c:v>42567</c:v>
                </c:pt>
                <c:pt idx="40">
                  <c:v>42573</c:v>
                </c:pt>
                <c:pt idx="41">
                  <c:v>42612</c:v>
                </c:pt>
                <c:pt idx="42">
                  <c:v>42638</c:v>
                </c:pt>
                <c:pt idx="43">
                  <c:v>42649</c:v>
                </c:pt>
              </c:numCache>
            </c:numRef>
          </c:xVal>
          <c:yVal>
            <c:numRef>
              <c:f>Anthropometrics!$B$29:$AS$29</c:f>
              <c:numCache>
                <c:formatCode>0.00%</c:formatCode>
                <c:ptCount val="44"/>
                <c:pt idx="0">
                  <c:v>0.18421971545494331</c:v>
                </c:pt>
                <c:pt idx="1">
                  <c:v>0.19779421953029611</c:v>
                </c:pt>
                <c:pt idx="2">
                  <c:v>0.18968274533080545</c:v>
                </c:pt>
                <c:pt idx="3">
                  <c:v>0.17594298183467061</c:v>
                </c:pt>
                <c:pt idx="5">
                  <c:v>0.2189291405600261</c:v>
                </c:pt>
                <c:pt idx="6">
                  <c:v>0.20580495740866239</c:v>
                </c:pt>
                <c:pt idx="7">
                  <c:v>0.18695673910524022</c:v>
                </c:pt>
                <c:pt idx="8">
                  <c:v>0.18695673910524022</c:v>
                </c:pt>
                <c:pt idx="9">
                  <c:v>0.17316233083742474</c:v>
                </c:pt>
                <c:pt idx="10">
                  <c:v>0.1647557816585197</c:v>
                </c:pt>
                <c:pt idx="11">
                  <c:v>0.15053223227520107</c:v>
                </c:pt>
                <c:pt idx="12">
                  <c:v>0.17316233083742474</c:v>
                </c:pt>
                <c:pt idx="13">
                  <c:v>0.16193221550558634</c:v>
                </c:pt>
                <c:pt idx="14">
                  <c:v>0.15053223227520107</c:v>
                </c:pt>
                <c:pt idx="15">
                  <c:v>0.14187250323524381</c:v>
                </c:pt>
                <c:pt idx="16">
                  <c:v>0.15625327760252788</c:v>
                </c:pt>
                <c:pt idx="17">
                  <c:v>0.15625327760252788</c:v>
                </c:pt>
                <c:pt idx="18">
                  <c:v>0.14765603214112333</c:v>
                </c:pt>
                <c:pt idx="19">
                  <c:v>0.14476944068249453</c:v>
                </c:pt>
                <c:pt idx="20">
                  <c:v>0.14765603214112333</c:v>
                </c:pt>
                <c:pt idx="22">
                  <c:v>0.15625327760252788</c:v>
                </c:pt>
                <c:pt idx="23">
                  <c:v>0.15053223227520107</c:v>
                </c:pt>
                <c:pt idx="24">
                  <c:v>0.15625327760252788</c:v>
                </c:pt>
                <c:pt idx="25">
                  <c:v>0.15339799582378646</c:v>
                </c:pt>
                <c:pt idx="26">
                  <c:v>0.15625327760252788</c:v>
                </c:pt>
                <c:pt idx="27">
                  <c:v>0.1590980325052567</c:v>
                </c:pt>
                <c:pt idx="28">
                  <c:v>0.15738138496409079</c:v>
                </c:pt>
                <c:pt idx="29">
                  <c:v>0.15165756883889345</c:v>
                </c:pt>
                <c:pt idx="30">
                  <c:v>0.15165756883889345</c:v>
                </c:pt>
                <c:pt idx="32">
                  <c:v>0.20009143814252353</c:v>
                </c:pt>
                <c:pt idx="33">
                  <c:v>0.19739611471250157</c:v>
                </c:pt>
                <c:pt idx="34">
                  <c:v>0.20009143814252353</c:v>
                </c:pt>
                <c:pt idx="35">
                  <c:v>0.19468963264575279</c:v>
                </c:pt>
                <c:pt idx="36">
                  <c:v>0.18375299760191866</c:v>
                </c:pt>
                <c:pt idx="37">
                  <c:v>0.210760271027645</c:v>
                </c:pt>
                <c:pt idx="38">
                  <c:v>0.19604426576707509</c:v>
                </c:pt>
                <c:pt idx="39">
                  <c:v>0.1481387162347943</c:v>
                </c:pt>
                <c:pt idx="40">
                  <c:v>0.14086654260083492</c:v>
                </c:pt>
                <c:pt idx="41">
                  <c:v>0.14958540492323494</c:v>
                </c:pt>
                <c:pt idx="42">
                  <c:v>0.15102949833244167</c:v>
                </c:pt>
                <c:pt idx="43">
                  <c:v>0.15247099078599263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6A-435D-85B3-E5E83DDE6994}"/>
            </c:ext>
          </c:extLst>
        </c:ser>
        <c:ser>
          <c:idx val="1"/>
          <c:order val="1"/>
          <c:spPr>
            <a:ln w="3175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Anthropometrics!$B$7:$CT$7</c:f>
              <c:numCache>
                <c:formatCode>m/d/yyyy</c:formatCode>
                <c:ptCount val="97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  <c:pt idx="36">
                  <c:v>42018</c:v>
                </c:pt>
                <c:pt idx="37">
                  <c:v>42240</c:v>
                </c:pt>
                <c:pt idx="38">
                  <c:v>42281</c:v>
                </c:pt>
                <c:pt idx="39">
                  <c:v>42567</c:v>
                </c:pt>
                <c:pt idx="40">
                  <c:v>42573</c:v>
                </c:pt>
                <c:pt idx="41">
                  <c:v>42612</c:v>
                </c:pt>
                <c:pt idx="42">
                  <c:v>42638</c:v>
                </c:pt>
                <c:pt idx="43">
                  <c:v>42649</c:v>
                </c:pt>
                <c:pt idx="44">
                  <c:v>42655</c:v>
                </c:pt>
                <c:pt idx="45">
                  <c:v>42659</c:v>
                </c:pt>
                <c:pt idx="46">
                  <c:v>42663</c:v>
                </c:pt>
                <c:pt idx="47">
                  <c:v>42665</c:v>
                </c:pt>
                <c:pt idx="48">
                  <c:v>42667</c:v>
                </c:pt>
                <c:pt idx="49">
                  <c:v>42670</c:v>
                </c:pt>
                <c:pt idx="50">
                  <c:v>42674</c:v>
                </c:pt>
                <c:pt idx="51">
                  <c:v>42749</c:v>
                </c:pt>
                <c:pt idx="52">
                  <c:v>42756</c:v>
                </c:pt>
                <c:pt idx="53">
                  <c:v>42760</c:v>
                </c:pt>
                <c:pt idx="54">
                  <c:v>42768</c:v>
                </c:pt>
                <c:pt idx="55">
                  <c:v>42787</c:v>
                </c:pt>
                <c:pt idx="56">
                  <c:v>42802</c:v>
                </c:pt>
                <c:pt idx="57">
                  <c:v>42832</c:v>
                </c:pt>
                <c:pt idx="58">
                  <c:v>42833</c:v>
                </c:pt>
                <c:pt idx="59">
                  <c:v>42870</c:v>
                </c:pt>
                <c:pt idx="60">
                  <c:v>42893</c:v>
                </c:pt>
                <c:pt idx="61">
                  <c:v>42902</c:v>
                </c:pt>
                <c:pt idx="62">
                  <c:v>42913</c:v>
                </c:pt>
                <c:pt idx="63">
                  <c:v>42929</c:v>
                </c:pt>
                <c:pt idx="64">
                  <c:v>43241</c:v>
                </c:pt>
                <c:pt idx="65">
                  <c:v>43246</c:v>
                </c:pt>
                <c:pt idx="66">
                  <c:v>43280</c:v>
                </c:pt>
                <c:pt idx="67">
                  <c:v>43299</c:v>
                </c:pt>
                <c:pt idx="68">
                  <c:v>43306</c:v>
                </c:pt>
                <c:pt idx="69">
                  <c:v>43315</c:v>
                </c:pt>
                <c:pt idx="70">
                  <c:v>43322</c:v>
                </c:pt>
                <c:pt idx="71">
                  <c:v>43338</c:v>
                </c:pt>
                <c:pt idx="72">
                  <c:v>45019</c:v>
                </c:pt>
                <c:pt idx="73">
                  <c:v>45105</c:v>
                </c:pt>
                <c:pt idx="74">
                  <c:v>45153</c:v>
                </c:pt>
                <c:pt idx="75">
                  <c:v>45291</c:v>
                </c:pt>
                <c:pt idx="76">
                  <c:v>45308</c:v>
                </c:pt>
                <c:pt idx="77">
                  <c:v>45316</c:v>
                </c:pt>
                <c:pt idx="78">
                  <c:v>45323</c:v>
                </c:pt>
                <c:pt idx="79">
                  <c:v>45327</c:v>
                </c:pt>
                <c:pt idx="80">
                  <c:v>45331</c:v>
                </c:pt>
                <c:pt idx="81">
                  <c:v>45336</c:v>
                </c:pt>
                <c:pt idx="82">
                  <c:v>45342</c:v>
                </c:pt>
                <c:pt idx="83">
                  <c:v>45348</c:v>
                </c:pt>
                <c:pt idx="84">
                  <c:v>45369</c:v>
                </c:pt>
                <c:pt idx="85">
                  <c:v>45379</c:v>
                </c:pt>
                <c:pt idx="86">
                  <c:v>45390</c:v>
                </c:pt>
                <c:pt idx="87">
                  <c:v>45408</c:v>
                </c:pt>
                <c:pt idx="88">
                  <c:v>45435</c:v>
                </c:pt>
                <c:pt idx="89">
                  <c:v>45442</c:v>
                </c:pt>
                <c:pt idx="90">
                  <c:v>45451</c:v>
                </c:pt>
                <c:pt idx="91">
                  <c:v>45670</c:v>
                </c:pt>
                <c:pt idx="92">
                  <c:v>45700</c:v>
                </c:pt>
                <c:pt idx="93">
                  <c:v>45820</c:v>
                </c:pt>
                <c:pt idx="94">
                  <c:v>45946</c:v>
                </c:pt>
                <c:pt idx="95">
                  <c:v>46111</c:v>
                </c:pt>
              </c:numCache>
            </c:numRef>
          </c:xVal>
          <c:yVal>
            <c:numRef>
              <c:f>Anthropometrics!$B$28:$CT$28</c:f>
              <c:numCache>
                <c:formatCode>General</c:formatCode>
                <c:ptCount val="97"/>
                <c:pt idx="0" formatCode="0.00%">
                  <c:v>0.21659999999999999</c:v>
                </c:pt>
                <c:pt idx="2" formatCode="0.00%">
                  <c:v>0.19420000000000001</c:v>
                </c:pt>
                <c:pt idx="3" formatCode="0.00%">
                  <c:v>0.19040000000000001</c:v>
                </c:pt>
                <c:pt idx="5" formatCode="0.00%">
                  <c:v>0.29199999999999998</c:v>
                </c:pt>
                <c:pt idx="9" formatCode="0.00%">
                  <c:v>0.22030560184667952</c:v>
                </c:pt>
                <c:pt idx="10" formatCode="0.00%">
                  <c:v>0.21305223444822349</c:v>
                </c:pt>
                <c:pt idx="11" formatCode="0.00%">
                  <c:v>0.20937204030624929</c:v>
                </c:pt>
                <c:pt idx="13" formatCode="0.00%">
                  <c:v>0.21305223444822349</c:v>
                </c:pt>
                <c:pt idx="14" formatCode="0.00%">
                  <c:v>0.21305223444822349</c:v>
                </c:pt>
                <c:pt idx="15" formatCode="0.00%">
                  <c:v>0.21305223444822349</c:v>
                </c:pt>
                <c:pt idx="16" formatCode="0.00%">
                  <c:v>0.223880142845852</c:v>
                </c:pt>
                <c:pt idx="17" formatCode="0.00%">
                  <c:v>0.22742080143002727</c:v>
                </c:pt>
                <c:pt idx="18" formatCode="0.00%">
                  <c:v>0.22030560184667952</c:v>
                </c:pt>
                <c:pt idx="19" formatCode="0.00%">
                  <c:v>0.20937204030624929</c:v>
                </c:pt>
                <c:pt idx="20" formatCode="0.00%">
                  <c:v>0.22030560184667952</c:v>
                </c:pt>
                <c:pt idx="21" formatCode="0.00%">
                  <c:v>0.22030560184667952</c:v>
                </c:pt>
                <c:pt idx="22" formatCode="0.00%">
                  <c:v>0.21669652368471692</c:v>
                </c:pt>
                <c:pt idx="23" formatCode="0.00%">
                  <c:v>0.21669652368471692</c:v>
                </c:pt>
                <c:pt idx="24" formatCode="0.00%">
                  <c:v>0.22030560184667952</c:v>
                </c:pt>
                <c:pt idx="25" formatCode="0.00%">
                  <c:v>0.22173952561863433</c:v>
                </c:pt>
                <c:pt idx="26" formatCode="0.00%">
                  <c:v>0.23440299881012397</c:v>
                </c:pt>
                <c:pt idx="27" formatCode="0.00%">
                  <c:v>0.223880142845852</c:v>
                </c:pt>
                <c:pt idx="28" formatCode="0.00%">
                  <c:v>0.22742080143002727</c:v>
                </c:pt>
                <c:pt idx="29" formatCode="0.00%">
                  <c:v>0.21669652368471692</c:v>
                </c:pt>
                <c:pt idx="30" formatCode="0.00%">
                  <c:v>0.23092821390284729</c:v>
                </c:pt>
                <c:pt idx="31" formatCode="0.00%">
                  <c:v>0.23784575759452894</c:v>
                </c:pt>
                <c:pt idx="32" formatCode="0.00%">
                  <c:v>0.25328612953143581</c:v>
                </c:pt>
                <c:pt idx="33" formatCode="0.00%">
                  <c:v>0.23784575759452894</c:v>
                </c:pt>
                <c:pt idx="34" formatCode="0.00%">
                  <c:v>0.24463752077020262</c:v>
                </c:pt>
                <c:pt idx="35" formatCode="0.00%">
                  <c:v>0.24125707522038783</c:v>
                </c:pt>
                <c:pt idx="36" formatCode="0.00%">
                  <c:v>0.2479876480144215</c:v>
                </c:pt>
                <c:pt idx="37" formatCode="0.00%">
                  <c:v>0.26937546774899079</c:v>
                </c:pt>
                <c:pt idx="38" formatCode="0.00%">
                  <c:v>0.26238138508375775</c:v>
                </c:pt>
                <c:pt idx="39" formatCode="0.00%">
                  <c:v>0.22173952561863433</c:v>
                </c:pt>
                <c:pt idx="40" formatCode="0.00%">
                  <c:v>0.21814434210148836</c:v>
                </c:pt>
                <c:pt idx="41" formatCode="0.00%">
                  <c:v>0.23092821390284729</c:v>
                </c:pt>
                <c:pt idx="42" formatCode="0.00%">
                  <c:v>0.223880142845852</c:v>
                </c:pt>
                <c:pt idx="43" formatCode="0.00%">
                  <c:v>0.24057729944791265</c:v>
                </c:pt>
                <c:pt idx="44" formatCode="0.00%">
                  <c:v>0.23022936115664994</c:v>
                </c:pt>
                <c:pt idx="45" formatCode="0.00%">
                  <c:v>0.21158450492178749</c:v>
                </c:pt>
                <c:pt idx="46" formatCode="0.00%">
                  <c:v>0.20863163038318494</c:v>
                </c:pt>
                <c:pt idx="47" formatCode="0.00%">
                  <c:v>0.20937204030624929</c:v>
                </c:pt>
                <c:pt idx="48" formatCode="0.00%">
                  <c:v>0.21524307171906162</c:v>
                </c:pt>
                <c:pt idx="49" formatCode="0.00%">
                  <c:v>0.20114567475561718</c:v>
                </c:pt>
                <c:pt idx="50" formatCode="0.00%">
                  <c:v>0.20038876125673416</c:v>
                </c:pt>
                <c:pt idx="51" formatCode="0.00%">
                  <c:v>0.22812492356856001</c:v>
                </c:pt>
                <c:pt idx="52" formatCode="0.00%">
                  <c:v>0.23092821390284729</c:v>
                </c:pt>
                <c:pt idx="53" formatCode="0.00%">
                  <c:v>0.22742080143002727</c:v>
                </c:pt>
                <c:pt idx="54" formatCode="0.00%">
                  <c:v>0.22882772092335973</c:v>
                </c:pt>
                <c:pt idx="55" formatCode="0.00%">
                  <c:v>0.23921402536577252</c:v>
                </c:pt>
                <c:pt idx="56" formatCode="0.00%">
                  <c:v>0.24057729944791265</c:v>
                </c:pt>
                <c:pt idx="57" formatCode="0.00%">
                  <c:v>0.2459811793553128</c:v>
                </c:pt>
                <c:pt idx="58" formatCode="0.00%">
                  <c:v>0.24665120049259986</c:v>
                </c:pt>
                <c:pt idx="59" formatCode="0.00%">
                  <c:v>0.25786143920393972</c:v>
                </c:pt>
                <c:pt idx="60" formatCode="0.00%">
                  <c:v>0.27063316820951416</c:v>
                </c:pt>
                <c:pt idx="61" formatCode="0.00%">
                  <c:v>0.26684729103277466</c:v>
                </c:pt>
                <c:pt idx="62" formatCode="0.00%">
                  <c:v>0.26621256414447531</c:v>
                </c:pt>
                <c:pt idx="63" formatCode="0.00%">
                  <c:v>0.27126043398896615</c:v>
                </c:pt>
                <c:pt idx="64" formatCode="0.00%">
                  <c:v>0.26109554324987089</c:v>
                </c:pt>
                <c:pt idx="65" formatCode="0.00%">
                  <c:v>0.26109554324987089</c:v>
                </c:pt>
                <c:pt idx="66" formatCode="0.00%">
                  <c:v>0.24193561615880912</c:v>
                </c:pt>
                <c:pt idx="67" formatCode="0.00%">
                  <c:v>0.24998339639803152</c:v>
                </c:pt>
                <c:pt idx="68" formatCode="0.00%">
                  <c:v>0.24125707522038783</c:v>
                </c:pt>
                <c:pt idx="69" formatCode="0.00%">
                  <c:v>0.23509409370454892</c:v>
                </c:pt>
                <c:pt idx="70" formatCode="0.00%">
                  <c:v>0.23371062292350264</c:v>
                </c:pt>
                <c:pt idx="71" formatCode="0.00%">
                  <c:v>0.23921402536577252</c:v>
                </c:pt>
                <c:pt idx="72" formatCode="0.00%">
                  <c:v>0.30936086494594994</c:v>
                </c:pt>
                <c:pt idx="73" formatCode="0.00%">
                  <c:v>0.2984497171755236</c:v>
                </c:pt>
                <c:pt idx="74" formatCode="0.00%">
                  <c:v>0.30537795320107952</c:v>
                </c:pt>
                <c:pt idx="75" formatCode="0.00%">
                  <c:v>0.30709011823339399</c:v>
                </c:pt>
                <c:pt idx="76" formatCode="0.00%">
                  <c:v>0.32051204180502241</c:v>
                </c:pt>
                <c:pt idx="77" formatCode="0.00%">
                  <c:v>0.30365790403490867</c:v>
                </c:pt>
                <c:pt idx="78" formatCode="0.00%">
                  <c:v>0.30077343654418248</c:v>
                </c:pt>
                <c:pt idx="79" formatCode="0.00%">
                  <c:v>0.3013521147139604</c:v>
                </c:pt>
                <c:pt idx="80" formatCode="0.00%">
                  <c:v>0.29552459115558938</c:v>
                </c:pt>
                <c:pt idx="81" formatCode="0.00%">
                  <c:v>0.30365790403490867</c:v>
                </c:pt>
                <c:pt idx="82" formatCode="0.00%">
                  <c:v>0.29257637787226842</c:v>
                </c:pt>
                <c:pt idx="83" formatCode="0.00%">
                  <c:v>0.29786652160992977</c:v>
                </c:pt>
                <c:pt idx="84" formatCode="0.00%">
                  <c:v>0.29020093785488787</c:v>
                </c:pt>
                <c:pt idx="85" formatCode="0.00%">
                  <c:v>0.27063316820951416</c:v>
                </c:pt>
                <c:pt idx="86" formatCode="0.00%">
                  <c:v>0.28840939157224132</c:v>
                </c:pt>
                <c:pt idx="87" formatCode="0.00%">
                  <c:v>0.29020093785488787</c:v>
                </c:pt>
                <c:pt idx="88" formatCode="0.00%">
                  <c:v>0.28237474200490698</c:v>
                </c:pt>
                <c:pt idx="89" formatCode="0.00%">
                  <c:v>0.27993331707914954</c:v>
                </c:pt>
                <c:pt idx="90" formatCode="0.00%">
                  <c:v>0.29020093785488787</c:v>
                </c:pt>
                <c:pt idx="91" formatCode="0.00%">
                  <c:v>0.29961338379851205</c:v>
                </c:pt>
                <c:pt idx="92" formatCode="0.00%">
                  <c:v>0.29493680711001691</c:v>
                </c:pt>
                <c:pt idx="93" formatCode="0.00%">
                  <c:v>0.29049869529104899</c:v>
                </c:pt>
                <c:pt idx="94" formatCode="0.00%">
                  <c:v>0.28540425320859231</c:v>
                </c:pt>
                <c:pt idx="95" formatCode="0.00%">
                  <c:v>0.28781029491794036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6A-435D-85B3-E5E83DDE6994}"/>
            </c:ext>
          </c:extLst>
        </c:ser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Anthropometrics!$B$7:$CT$7</c:f>
              <c:numCache>
                <c:formatCode>m/d/yyyy</c:formatCode>
                <c:ptCount val="97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  <c:pt idx="36">
                  <c:v>42018</c:v>
                </c:pt>
                <c:pt idx="37">
                  <c:v>42240</c:v>
                </c:pt>
                <c:pt idx="38">
                  <c:v>42281</c:v>
                </c:pt>
                <c:pt idx="39">
                  <c:v>42567</c:v>
                </c:pt>
                <c:pt idx="40">
                  <c:v>42573</c:v>
                </c:pt>
                <c:pt idx="41">
                  <c:v>42612</c:v>
                </c:pt>
                <c:pt idx="42">
                  <c:v>42638</c:v>
                </c:pt>
                <c:pt idx="43">
                  <c:v>42649</c:v>
                </c:pt>
                <c:pt idx="44">
                  <c:v>42655</c:v>
                </c:pt>
                <c:pt idx="45">
                  <c:v>42659</c:v>
                </c:pt>
                <c:pt idx="46">
                  <c:v>42663</c:v>
                </c:pt>
                <c:pt idx="47">
                  <c:v>42665</c:v>
                </c:pt>
                <c:pt idx="48">
                  <c:v>42667</c:v>
                </c:pt>
                <c:pt idx="49">
                  <c:v>42670</c:v>
                </c:pt>
                <c:pt idx="50">
                  <c:v>42674</c:v>
                </c:pt>
                <c:pt idx="51">
                  <c:v>42749</c:v>
                </c:pt>
                <c:pt idx="52">
                  <c:v>42756</c:v>
                </c:pt>
                <c:pt idx="53">
                  <c:v>42760</c:v>
                </c:pt>
                <c:pt idx="54">
                  <c:v>42768</c:v>
                </c:pt>
                <c:pt idx="55">
                  <c:v>42787</c:v>
                </c:pt>
                <c:pt idx="56">
                  <c:v>42802</c:v>
                </c:pt>
                <c:pt idx="57">
                  <c:v>42832</c:v>
                </c:pt>
                <c:pt idx="58">
                  <c:v>42833</c:v>
                </c:pt>
                <c:pt idx="59">
                  <c:v>42870</c:v>
                </c:pt>
                <c:pt idx="60">
                  <c:v>42893</c:v>
                </c:pt>
                <c:pt idx="61">
                  <c:v>42902</c:v>
                </c:pt>
                <c:pt idx="62">
                  <c:v>42913</c:v>
                </c:pt>
                <c:pt idx="63">
                  <c:v>42929</c:v>
                </c:pt>
                <c:pt idx="64">
                  <c:v>43241</c:v>
                </c:pt>
                <c:pt idx="65">
                  <c:v>43246</c:v>
                </c:pt>
                <c:pt idx="66">
                  <c:v>43280</c:v>
                </c:pt>
                <c:pt idx="67">
                  <c:v>43299</c:v>
                </c:pt>
                <c:pt idx="68">
                  <c:v>43306</c:v>
                </c:pt>
                <c:pt idx="69">
                  <c:v>43315</c:v>
                </c:pt>
                <c:pt idx="70">
                  <c:v>43322</c:v>
                </c:pt>
                <c:pt idx="71">
                  <c:v>43338</c:v>
                </c:pt>
                <c:pt idx="72">
                  <c:v>45019</c:v>
                </c:pt>
                <c:pt idx="73">
                  <c:v>45105</c:v>
                </c:pt>
                <c:pt idx="74">
                  <c:v>45153</c:v>
                </c:pt>
                <c:pt idx="75">
                  <c:v>45291</c:v>
                </c:pt>
                <c:pt idx="76">
                  <c:v>45308</c:v>
                </c:pt>
                <c:pt idx="77">
                  <c:v>45316</c:v>
                </c:pt>
                <c:pt idx="78">
                  <c:v>45323</c:v>
                </c:pt>
                <c:pt idx="79">
                  <c:v>45327</c:v>
                </c:pt>
                <c:pt idx="80">
                  <c:v>45331</c:v>
                </c:pt>
                <c:pt idx="81">
                  <c:v>45336</c:v>
                </c:pt>
                <c:pt idx="82">
                  <c:v>45342</c:v>
                </c:pt>
                <c:pt idx="83">
                  <c:v>45348</c:v>
                </c:pt>
                <c:pt idx="84">
                  <c:v>45369</c:v>
                </c:pt>
                <c:pt idx="85">
                  <c:v>45379</c:v>
                </c:pt>
                <c:pt idx="86">
                  <c:v>45390</c:v>
                </c:pt>
                <c:pt idx="87">
                  <c:v>45408</c:v>
                </c:pt>
                <c:pt idx="88">
                  <c:v>45435</c:v>
                </c:pt>
                <c:pt idx="89">
                  <c:v>45442</c:v>
                </c:pt>
                <c:pt idx="90">
                  <c:v>45451</c:v>
                </c:pt>
                <c:pt idx="91">
                  <c:v>45670</c:v>
                </c:pt>
                <c:pt idx="92">
                  <c:v>45700</c:v>
                </c:pt>
                <c:pt idx="93">
                  <c:v>45820</c:v>
                </c:pt>
                <c:pt idx="94">
                  <c:v>45946</c:v>
                </c:pt>
                <c:pt idx="95">
                  <c:v>46111</c:v>
                </c:pt>
              </c:numCache>
            </c:numRef>
          </c:xVal>
          <c:yVal>
            <c:numRef>
              <c:f>Anthropometrics!$B$30:$CT$30</c:f>
              <c:numCache>
                <c:formatCode>0.00%</c:formatCode>
                <c:ptCount val="97"/>
                <c:pt idx="0">
                  <c:v>0.22431060239844897</c:v>
                </c:pt>
                <c:pt idx="1">
                  <c:v>0.23402865617719443</c:v>
                </c:pt>
                <c:pt idx="2">
                  <c:v>0.2278534288874465</c:v>
                </c:pt>
                <c:pt idx="3">
                  <c:v>0.21666191465360896</c:v>
                </c:pt>
                <c:pt idx="4">
                  <c:v>0.20404602753376822</c:v>
                </c:pt>
                <c:pt idx="5">
                  <c:v>0.25130005216006057</c:v>
                </c:pt>
                <c:pt idx="9">
                  <c:v>0.21543034233789909</c:v>
                </c:pt>
                <c:pt idx="10">
                  <c:v>0.2082933034870797</c:v>
                </c:pt>
                <c:pt idx="11">
                  <c:v>0.19640416883118689</c:v>
                </c:pt>
                <c:pt idx="13">
                  <c:v>0.20595719192100431</c:v>
                </c:pt>
                <c:pt idx="14">
                  <c:v>0.19602489945106241</c:v>
                </c:pt>
                <c:pt idx="15">
                  <c:v>0.18889624762476787</c:v>
                </c:pt>
                <c:pt idx="16">
                  <c:v>0.2013489586265598</c:v>
                </c:pt>
                <c:pt idx="17">
                  <c:v>0.20147566175886594</c:v>
                </c:pt>
                <c:pt idx="18">
                  <c:v>0.19396410419632332</c:v>
                </c:pt>
                <c:pt idx="19">
                  <c:v>0.19112497353388108</c:v>
                </c:pt>
                <c:pt idx="20">
                  <c:v>0.19396410419632332</c:v>
                </c:pt>
                <c:pt idx="22">
                  <c:v>0.20109557284847257</c:v>
                </c:pt>
                <c:pt idx="23">
                  <c:v>0.19627773889770991</c:v>
                </c:pt>
                <c:pt idx="24">
                  <c:v>0.20122226232327875</c:v>
                </c:pt>
                <c:pt idx="25">
                  <c:v>0.19874764051319402</c:v>
                </c:pt>
                <c:pt idx="26">
                  <c:v>0.20160237172075199</c:v>
                </c:pt>
                <c:pt idx="27">
                  <c:v>0.20372698058850972</c:v>
                </c:pt>
                <c:pt idx="28">
                  <c:v>0.202376511360672</c:v>
                </c:pt>
                <c:pt idx="29">
                  <c:v>0.19717659746257424</c:v>
                </c:pt>
                <c:pt idx="30">
                  <c:v>0.19768255167585722</c:v>
                </c:pt>
                <c:pt idx="32">
                  <c:v>0.23786223274253984</c:v>
                </c:pt>
                <c:pt idx="33">
                  <c:v>0.235059561505916</c:v>
                </c:pt>
                <c:pt idx="34">
                  <c:v>0.23739904658858449</c:v>
                </c:pt>
                <c:pt idx="35">
                  <c:v>0.23307566134133595</c:v>
                </c:pt>
                <c:pt idx="36">
                  <c:v>0.22458013794508302</c:v>
                </c:pt>
                <c:pt idx="37">
                  <c:v>0.24671717112365057</c:v>
                </c:pt>
                <c:pt idx="38">
                  <c:v>0.23510786770196831</c:v>
                </c:pt>
                <c:pt idx="39">
                  <c:v>0.19438202272508931</c:v>
                </c:pt>
                <c:pt idx="40">
                  <c:v>0.18798974665309173</c:v>
                </c:pt>
                <c:pt idx="41">
                  <c:v>0.19597079490039845</c:v>
                </c:pt>
                <c:pt idx="42">
                  <c:v>0.19687054584557701</c:v>
                </c:pt>
                <c:pt idx="43">
                  <c:v>0.19871079825855531</c:v>
                </c:pt>
                <c:pt idx="44">
                  <c:v>0.19589406628391204</c:v>
                </c:pt>
                <c:pt idx="45">
                  <c:v>0.19400307986798965</c:v>
                </c:pt>
                <c:pt idx="46">
                  <c:v>0.19387677917715279</c:v>
                </c:pt>
                <c:pt idx="47">
                  <c:v>0.18889720167317989</c:v>
                </c:pt>
                <c:pt idx="48">
                  <c:v>0.18535439963224121</c:v>
                </c:pt>
                <c:pt idx="49">
                  <c:v>0.18483461569487816</c:v>
                </c:pt>
                <c:pt idx="50">
                  <c:v>0.18228811317653026</c:v>
                </c:pt>
                <c:pt idx="51">
                  <c:v>0.20894405408497846</c:v>
                </c:pt>
                <c:pt idx="52">
                  <c:v>0.21254790165707674</c:v>
                </c:pt>
                <c:pt idx="53">
                  <c:v>0.21358282481487664</c:v>
                </c:pt>
                <c:pt idx="54">
                  <c:v>0.21254790165707674</c:v>
                </c:pt>
                <c:pt idx="55">
                  <c:v>0.21969785474505443</c:v>
                </c:pt>
                <c:pt idx="56">
                  <c:v>0.21638476063815404</c:v>
                </c:pt>
                <c:pt idx="57">
                  <c:v>0.22226115554296258</c:v>
                </c:pt>
                <c:pt idx="58">
                  <c:v>0.22107570204677984</c:v>
                </c:pt>
                <c:pt idx="59">
                  <c:v>0.23364228085613037</c:v>
                </c:pt>
                <c:pt idx="60">
                  <c:v>0.23633609233809239</c:v>
                </c:pt>
                <c:pt idx="61">
                  <c:v>0.23399399223110379</c:v>
                </c:pt>
                <c:pt idx="62">
                  <c:v>0.22964635521905791</c:v>
                </c:pt>
                <c:pt idx="63">
                  <c:v>0.2276243181840249</c:v>
                </c:pt>
                <c:pt idx="64">
                  <c:v>0.24401513604806438</c:v>
                </c:pt>
                <c:pt idx="65">
                  <c:v>0.23779128479682868</c:v>
                </c:pt>
                <c:pt idx="66">
                  <c:v>0.21837767384841186</c:v>
                </c:pt>
                <c:pt idx="67">
                  <c:v>0.21387680567515191</c:v>
                </c:pt>
                <c:pt idx="68">
                  <c:v>0.21374943325733567</c:v>
                </c:pt>
                <c:pt idx="69">
                  <c:v>0.21695045346842506</c:v>
                </c:pt>
                <c:pt idx="70">
                  <c:v>0.214098133586553</c:v>
                </c:pt>
                <c:pt idx="71">
                  <c:v>0.20946047732904957</c:v>
                </c:pt>
                <c:pt idx="72">
                  <c:v>0.3043432931204853</c:v>
                </c:pt>
                <c:pt idx="73">
                  <c:v>0.2988603929258255</c:v>
                </c:pt>
                <c:pt idx="74">
                  <c:v>0.29776503100413493</c:v>
                </c:pt>
                <c:pt idx="75">
                  <c:v>0.29974306701922387</c:v>
                </c:pt>
                <c:pt idx="76">
                  <c:v>0.3002454039058341</c:v>
                </c:pt>
                <c:pt idx="77">
                  <c:v>0.29230818295068217</c:v>
                </c:pt>
                <c:pt idx="78">
                  <c:v>0.29060700330994793</c:v>
                </c:pt>
                <c:pt idx="79">
                  <c:v>0.29211479757089592</c:v>
                </c:pt>
                <c:pt idx="80">
                  <c:v>0.28703909617303963</c:v>
                </c:pt>
                <c:pt idx="81">
                  <c:v>0.28919754870409181</c:v>
                </c:pt>
                <c:pt idx="82">
                  <c:v>0.28854885395522784</c:v>
                </c:pt>
                <c:pt idx="83">
                  <c:v>0.2873534634094318</c:v>
                </c:pt>
                <c:pt idx="84">
                  <c:v>0.28373501427527176</c:v>
                </c:pt>
                <c:pt idx="85">
                  <c:v>0.28170150015556089</c:v>
                </c:pt>
                <c:pt idx="86">
                  <c:v>0.2769533911486059</c:v>
                </c:pt>
                <c:pt idx="87">
                  <c:v>0.27693625508050673</c:v>
                </c:pt>
                <c:pt idx="88">
                  <c:v>0.27640929480834586</c:v>
                </c:pt>
                <c:pt idx="89">
                  <c:v>0.27489613946880581</c:v>
                </c:pt>
                <c:pt idx="90">
                  <c:v>0.27172123680496552</c:v>
                </c:pt>
                <c:pt idx="91">
                  <c:v>0.27799600630499072</c:v>
                </c:pt>
                <c:pt idx="92">
                  <c:v>0.27431385626751192</c:v>
                </c:pt>
                <c:pt idx="93">
                  <c:v>0.27968135417663292</c:v>
                </c:pt>
                <c:pt idx="94">
                  <c:v>0.27742761556118467</c:v>
                </c:pt>
                <c:pt idx="95">
                  <c:v>0.28205732213275836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6A-435D-85B3-E5E83DDE6994}"/>
            </c:ext>
          </c:extLst>
        </c:ser>
        <c:ser>
          <c:idx val="3"/>
          <c:order val="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Anthropometrics!$B$7:$AS$7</c:f>
              <c:numCache>
                <c:formatCode>m/d/yyyy</c:formatCode>
                <c:ptCount val="44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  <c:pt idx="36">
                  <c:v>42018</c:v>
                </c:pt>
                <c:pt idx="37">
                  <c:v>42240</c:v>
                </c:pt>
                <c:pt idx="38">
                  <c:v>42281</c:v>
                </c:pt>
                <c:pt idx="39">
                  <c:v>42567</c:v>
                </c:pt>
                <c:pt idx="40">
                  <c:v>42573</c:v>
                </c:pt>
                <c:pt idx="41">
                  <c:v>42612</c:v>
                </c:pt>
                <c:pt idx="42">
                  <c:v>42638</c:v>
                </c:pt>
                <c:pt idx="43">
                  <c:v>42649</c:v>
                </c:pt>
              </c:numCache>
            </c:numRef>
          </c:xVal>
          <c:yVal>
            <c:numRef>
              <c:f>Anthropometrics!$B$31:$AS$31</c:f>
              <c:numCache>
                <c:formatCode>0.00%</c:formatCode>
                <c:ptCount val="44"/>
                <c:pt idx="2">
                  <c:v>0.18016356191087241</c:v>
                </c:pt>
                <c:pt idx="5">
                  <c:v>0.22015018651108498</c:v>
                </c:pt>
                <c:pt idx="9">
                  <c:v>0.20819402363477887</c:v>
                </c:pt>
                <c:pt idx="10">
                  <c:v>0.20627980679877869</c:v>
                </c:pt>
                <c:pt idx="11">
                  <c:v>0.20502823806199735</c:v>
                </c:pt>
                <c:pt idx="13">
                  <c:v>0.2054442183957681</c:v>
                </c:pt>
                <c:pt idx="14">
                  <c:v>0.18776943998460732</c:v>
                </c:pt>
                <c:pt idx="15">
                  <c:v>0.19764225959967413</c:v>
                </c:pt>
                <c:pt idx="16">
                  <c:v>0.20787379082592361</c:v>
                </c:pt>
                <c:pt idx="17">
                  <c:v>0.21234555748134021</c:v>
                </c:pt>
                <c:pt idx="18">
                  <c:v>0.19972803409335504</c:v>
                </c:pt>
                <c:pt idx="19">
                  <c:v>0.18776943998460732</c:v>
                </c:pt>
                <c:pt idx="20">
                  <c:v>0.19656257087612797</c:v>
                </c:pt>
                <c:pt idx="21">
                  <c:v>0.19578228862650329</c:v>
                </c:pt>
                <c:pt idx="22">
                  <c:v>0.19446452719240667</c:v>
                </c:pt>
                <c:pt idx="23">
                  <c:v>0.18945195347885097</c:v>
                </c:pt>
                <c:pt idx="24">
                  <c:v>0.19462002720028423</c:v>
                </c:pt>
                <c:pt idx="25">
                  <c:v>0.19228426653443781</c:v>
                </c:pt>
                <c:pt idx="26">
                  <c:v>0.21300432876490988</c:v>
                </c:pt>
                <c:pt idx="27">
                  <c:v>0.20097207694340494</c:v>
                </c:pt>
                <c:pt idx="28">
                  <c:v>0.19984602838359067</c:v>
                </c:pt>
                <c:pt idx="29">
                  <c:v>0.18571811378533365</c:v>
                </c:pt>
                <c:pt idx="30">
                  <c:v>0.20571031038841836</c:v>
                </c:pt>
                <c:pt idx="31">
                  <c:v>0.21822335532585041</c:v>
                </c:pt>
                <c:pt idx="32">
                  <c:v>0.24349996835770346</c:v>
                </c:pt>
                <c:pt idx="33">
                  <c:v>0.21630003008465457</c:v>
                </c:pt>
                <c:pt idx="34">
                  <c:v>0.22230821935641884</c:v>
                </c:pt>
                <c:pt idx="35">
                  <c:v>0.21850360134078012</c:v>
                </c:pt>
                <c:pt idx="36">
                  <c:v>0.22522622604295847</c:v>
                </c:pt>
                <c:pt idx="37">
                  <c:v>0.25960823119691745</c:v>
                </c:pt>
                <c:pt idx="38">
                  <c:v>0.25161832423258207</c:v>
                </c:pt>
                <c:pt idx="39">
                  <c:v>0.20697130362407115</c:v>
                </c:pt>
                <c:pt idx="40">
                  <c:v>0.20127662224254686</c:v>
                </c:pt>
                <c:pt idx="41">
                  <c:v>0.21305324671241491</c:v>
                </c:pt>
                <c:pt idx="42">
                  <c:v>0.20737773048182634</c:v>
                </c:pt>
                <c:pt idx="43">
                  <c:v>0.22230821935641884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6A-435D-85B3-E5E83DDE6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21824"/>
        <c:axId val="132632960"/>
      </c:scatterChart>
      <c:valAx>
        <c:axId val="132621824"/>
        <c:scaling>
          <c:orientation val="minMax"/>
        </c:scaling>
        <c:delete val="0"/>
        <c:axPos val="b"/>
        <c:numFmt formatCode="yy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632960"/>
        <c:crosses val="autoZero"/>
        <c:crossBetween val="midCat"/>
        <c:majorUnit val="356"/>
      </c:valAx>
      <c:valAx>
        <c:axId val="132632960"/>
        <c:scaling>
          <c:orientation val="minMax"/>
          <c:min val="0.120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62182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963834966173781"/>
          <c:y val="0.4041310322935297"/>
          <c:w val="0.11716188941728822"/>
          <c:h val="0.117994409990786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06707029166445E-2"/>
          <c:y val="8.0292113887349401E-2"/>
          <c:w val="0.77722897526843493"/>
          <c:h val="0.7992714973331603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Anthropometrics!$B$7:$CT$7</c:f>
              <c:numCache>
                <c:formatCode>m/d/yyyy</c:formatCode>
                <c:ptCount val="97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  <c:pt idx="36">
                  <c:v>42018</c:v>
                </c:pt>
                <c:pt idx="37">
                  <c:v>42240</c:v>
                </c:pt>
                <c:pt idx="38">
                  <c:v>42281</c:v>
                </c:pt>
                <c:pt idx="39">
                  <c:v>42567</c:v>
                </c:pt>
                <c:pt idx="40">
                  <c:v>42573</c:v>
                </c:pt>
                <c:pt idx="41">
                  <c:v>42612</c:v>
                </c:pt>
                <c:pt idx="42">
                  <c:v>42638</c:v>
                </c:pt>
                <c:pt idx="43">
                  <c:v>42649</c:v>
                </c:pt>
                <c:pt idx="44">
                  <c:v>42655</c:v>
                </c:pt>
                <c:pt idx="45">
                  <c:v>42659</c:v>
                </c:pt>
                <c:pt idx="46">
                  <c:v>42663</c:v>
                </c:pt>
                <c:pt idx="47">
                  <c:v>42665</c:v>
                </c:pt>
                <c:pt idx="48">
                  <c:v>42667</c:v>
                </c:pt>
                <c:pt idx="49">
                  <c:v>42670</c:v>
                </c:pt>
                <c:pt idx="50">
                  <c:v>42674</c:v>
                </c:pt>
                <c:pt idx="51">
                  <c:v>42749</c:v>
                </c:pt>
                <c:pt idx="52">
                  <c:v>42756</c:v>
                </c:pt>
                <c:pt idx="53">
                  <c:v>42760</c:v>
                </c:pt>
                <c:pt idx="54">
                  <c:v>42768</c:v>
                </c:pt>
                <c:pt idx="55">
                  <c:v>42787</c:v>
                </c:pt>
                <c:pt idx="56">
                  <c:v>42802</c:v>
                </c:pt>
                <c:pt idx="57">
                  <c:v>42832</c:v>
                </c:pt>
                <c:pt idx="58">
                  <c:v>42833</c:v>
                </c:pt>
                <c:pt idx="59">
                  <c:v>42870</c:v>
                </c:pt>
                <c:pt idx="60">
                  <c:v>42893</c:v>
                </c:pt>
                <c:pt idx="61">
                  <c:v>42902</c:v>
                </c:pt>
                <c:pt idx="62">
                  <c:v>42913</c:v>
                </c:pt>
                <c:pt idx="63">
                  <c:v>42929</c:v>
                </c:pt>
                <c:pt idx="64">
                  <c:v>43241</c:v>
                </c:pt>
                <c:pt idx="65">
                  <c:v>43246</c:v>
                </c:pt>
                <c:pt idx="66">
                  <c:v>43280</c:v>
                </c:pt>
                <c:pt idx="67">
                  <c:v>43299</c:v>
                </c:pt>
                <c:pt idx="68">
                  <c:v>43306</c:v>
                </c:pt>
                <c:pt idx="69">
                  <c:v>43315</c:v>
                </c:pt>
                <c:pt idx="70">
                  <c:v>43322</c:v>
                </c:pt>
                <c:pt idx="71">
                  <c:v>43338</c:v>
                </c:pt>
                <c:pt idx="72">
                  <c:v>45019</c:v>
                </c:pt>
                <c:pt idx="73">
                  <c:v>45105</c:v>
                </c:pt>
                <c:pt idx="74">
                  <c:v>45153</c:v>
                </c:pt>
                <c:pt idx="75">
                  <c:v>45291</c:v>
                </c:pt>
                <c:pt idx="76">
                  <c:v>45308</c:v>
                </c:pt>
                <c:pt idx="77">
                  <c:v>45316</c:v>
                </c:pt>
                <c:pt idx="78">
                  <c:v>45323</c:v>
                </c:pt>
                <c:pt idx="79">
                  <c:v>45327</c:v>
                </c:pt>
                <c:pt idx="80">
                  <c:v>45331</c:v>
                </c:pt>
                <c:pt idx="81">
                  <c:v>45336</c:v>
                </c:pt>
                <c:pt idx="82">
                  <c:v>45342</c:v>
                </c:pt>
                <c:pt idx="83">
                  <c:v>45348</c:v>
                </c:pt>
                <c:pt idx="84">
                  <c:v>45369</c:v>
                </c:pt>
                <c:pt idx="85">
                  <c:v>45379</c:v>
                </c:pt>
                <c:pt idx="86">
                  <c:v>45390</c:v>
                </c:pt>
                <c:pt idx="87">
                  <c:v>45408</c:v>
                </c:pt>
                <c:pt idx="88">
                  <c:v>45435</c:v>
                </c:pt>
                <c:pt idx="89">
                  <c:v>45442</c:v>
                </c:pt>
                <c:pt idx="90">
                  <c:v>45451</c:v>
                </c:pt>
                <c:pt idx="91">
                  <c:v>45670</c:v>
                </c:pt>
                <c:pt idx="92">
                  <c:v>45700</c:v>
                </c:pt>
                <c:pt idx="93">
                  <c:v>45820</c:v>
                </c:pt>
                <c:pt idx="94">
                  <c:v>45946</c:v>
                </c:pt>
                <c:pt idx="95">
                  <c:v>46111</c:v>
                </c:pt>
              </c:numCache>
            </c:numRef>
          </c:xVal>
          <c:yVal>
            <c:numRef>
              <c:f>Anthropometrics!$B$32:$CT$32</c:f>
              <c:numCache>
                <c:formatCode>0.00</c:formatCode>
                <c:ptCount val="97"/>
                <c:pt idx="0">
                  <c:v>15.477431565492978</c:v>
                </c:pt>
                <c:pt idx="2">
                  <c:v>15.949740022121254</c:v>
                </c:pt>
                <c:pt idx="4">
                  <c:v>14.609695571417802</c:v>
                </c:pt>
                <c:pt idx="5">
                  <c:v>18.344903807684421</c:v>
                </c:pt>
                <c:pt idx="9">
                  <c:v>15.274011271757047</c:v>
                </c:pt>
                <c:pt idx="10">
                  <c:v>14.330579279911083</c:v>
                </c:pt>
                <c:pt idx="11">
                  <c:v>13.571528066235013</c:v>
                </c:pt>
                <c:pt idx="13">
                  <c:v>14.211046242549298</c:v>
                </c:pt>
                <c:pt idx="14">
                  <c:v>13.604128021903733</c:v>
                </c:pt>
                <c:pt idx="15">
                  <c:v>13.147178834683842</c:v>
                </c:pt>
                <c:pt idx="16">
                  <c:v>14.034022416271219</c:v>
                </c:pt>
                <c:pt idx="17">
                  <c:v>14.08314875694473</c:v>
                </c:pt>
                <c:pt idx="18">
                  <c:v>13.655072935421163</c:v>
                </c:pt>
                <c:pt idx="19">
                  <c:v>13.264073163251348</c:v>
                </c:pt>
                <c:pt idx="20">
                  <c:v>13.810244218778221</c:v>
                </c:pt>
                <c:pt idx="22">
                  <c:v>14.157128328532471</c:v>
                </c:pt>
                <c:pt idx="23">
                  <c:v>14.073113878965801</c:v>
                </c:pt>
                <c:pt idx="24">
                  <c:v>14.427636208579086</c:v>
                </c:pt>
                <c:pt idx="25">
                  <c:v>14.210456296693373</c:v>
                </c:pt>
                <c:pt idx="26">
                  <c:v>14.313768392173392</c:v>
                </c:pt>
                <c:pt idx="27">
                  <c:v>14.546106414019595</c:v>
                </c:pt>
                <c:pt idx="28">
                  <c:v>14.773485329329056</c:v>
                </c:pt>
                <c:pt idx="29">
                  <c:v>14.334738635529147</c:v>
                </c:pt>
                <c:pt idx="30">
                  <c:v>14.391289762002405</c:v>
                </c:pt>
                <c:pt idx="32">
                  <c:v>17.363942990205409</c:v>
                </c:pt>
                <c:pt idx="33">
                  <c:v>17.088830121480093</c:v>
                </c:pt>
                <c:pt idx="34">
                  <c:v>17.496309733578677</c:v>
                </c:pt>
                <c:pt idx="35">
                  <c:v>17.107753542454059</c:v>
                </c:pt>
                <c:pt idx="36">
                  <c:v>16.394350069991059</c:v>
                </c:pt>
                <c:pt idx="37">
                  <c:v>18.873863590959267</c:v>
                </c:pt>
                <c:pt idx="38">
                  <c:v>17.633090077647623</c:v>
                </c:pt>
                <c:pt idx="39">
                  <c:v>13.840000018026359</c:v>
                </c:pt>
                <c:pt idx="40">
                  <c:v>13.309674063038894</c:v>
                </c:pt>
                <c:pt idx="41">
                  <c:v>14.403853425179287</c:v>
                </c:pt>
                <c:pt idx="42">
                  <c:v>13.997495809620524</c:v>
                </c:pt>
                <c:pt idx="43">
                  <c:v>14.644985831655527</c:v>
                </c:pt>
                <c:pt idx="44">
                  <c:v>14.14355158569845</c:v>
                </c:pt>
                <c:pt idx="45">
                  <c:v>13.910020826534858</c:v>
                </c:pt>
                <c:pt idx="46">
                  <c:v>13.668312931989272</c:v>
                </c:pt>
                <c:pt idx="47">
                  <c:v>13.241693837289908</c:v>
                </c:pt>
                <c:pt idx="48">
                  <c:v>13.160162373889126</c:v>
                </c:pt>
                <c:pt idx="49">
                  <c:v>13.234158483753275</c:v>
                </c:pt>
                <c:pt idx="50">
                  <c:v>12.814854356310077</c:v>
                </c:pt>
                <c:pt idx="51">
                  <c:v>15.148443921160938</c:v>
                </c:pt>
                <c:pt idx="52">
                  <c:v>16.026111784943588</c:v>
                </c:pt>
                <c:pt idx="53">
                  <c:v>15.826487318782357</c:v>
                </c:pt>
                <c:pt idx="54">
                  <c:v>16.068621365275</c:v>
                </c:pt>
                <c:pt idx="55">
                  <c:v>16.587188033251611</c:v>
                </c:pt>
                <c:pt idx="56">
                  <c:v>16.53179571275497</c:v>
                </c:pt>
                <c:pt idx="57">
                  <c:v>17.314144016796785</c:v>
                </c:pt>
                <c:pt idx="58">
                  <c:v>16.691215504531879</c:v>
                </c:pt>
                <c:pt idx="59">
                  <c:v>18.340919047206235</c:v>
                </c:pt>
                <c:pt idx="60">
                  <c:v>19.072322651684058</c:v>
                </c:pt>
                <c:pt idx="61">
                  <c:v>18.53232418470342</c:v>
                </c:pt>
                <c:pt idx="62">
                  <c:v>18.348743782002728</c:v>
                </c:pt>
                <c:pt idx="63">
                  <c:v>18.073370863811579</c:v>
                </c:pt>
                <c:pt idx="64">
                  <c:v>18.789165475700958</c:v>
                </c:pt>
                <c:pt idx="65">
                  <c:v>18.072137644558978</c:v>
                </c:pt>
                <c:pt idx="66">
                  <c:v>15.941570190934065</c:v>
                </c:pt>
                <c:pt idx="67">
                  <c:v>15.698557536556152</c:v>
                </c:pt>
                <c:pt idx="68">
                  <c:v>15.560958741134035</c:v>
                </c:pt>
                <c:pt idx="69">
                  <c:v>16.01094346596977</c:v>
                </c:pt>
                <c:pt idx="70">
                  <c:v>15.693393191894334</c:v>
                </c:pt>
                <c:pt idx="71">
                  <c:v>15.458183226883857</c:v>
                </c:pt>
                <c:pt idx="72">
                  <c:v>26.173523208361736</c:v>
                </c:pt>
                <c:pt idx="73">
                  <c:v>25.522677555865499</c:v>
                </c:pt>
                <c:pt idx="74">
                  <c:v>25.75667518185767</c:v>
                </c:pt>
                <c:pt idx="75">
                  <c:v>26.137595444076322</c:v>
                </c:pt>
                <c:pt idx="76">
                  <c:v>25.761055655120565</c:v>
                </c:pt>
                <c:pt idx="77">
                  <c:v>24.933888005693188</c:v>
                </c:pt>
                <c:pt idx="78">
                  <c:v>24.614413180352592</c:v>
                </c:pt>
                <c:pt idx="79">
                  <c:v>24.333162637655629</c:v>
                </c:pt>
                <c:pt idx="80">
                  <c:v>23.99646844006611</c:v>
                </c:pt>
                <c:pt idx="81">
                  <c:v>24.292594091143712</c:v>
                </c:pt>
                <c:pt idx="82">
                  <c:v>23.949554878283909</c:v>
                </c:pt>
                <c:pt idx="83">
                  <c:v>23.87907280932378</c:v>
                </c:pt>
                <c:pt idx="84">
                  <c:v>23.351391674854863</c:v>
                </c:pt>
                <c:pt idx="85">
                  <c:v>23.127693162771546</c:v>
                </c:pt>
                <c:pt idx="86">
                  <c:v>22.488615361266799</c:v>
                </c:pt>
                <c:pt idx="87">
                  <c:v>22.7364665421096</c:v>
                </c:pt>
                <c:pt idx="88">
                  <c:v>22.361511949995183</c:v>
                </c:pt>
                <c:pt idx="89">
                  <c:v>22.046670385398226</c:v>
                </c:pt>
                <c:pt idx="90">
                  <c:v>22.0637644285632</c:v>
                </c:pt>
                <c:pt idx="91">
                  <c:v>22.740073315748241</c:v>
                </c:pt>
                <c:pt idx="92">
                  <c:v>22.329147900175471</c:v>
                </c:pt>
                <c:pt idx="93">
                  <c:v>22.654189688307266</c:v>
                </c:pt>
                <c:pt idx="94">
                  <c:v>22.693578952904904</c:v>
                </c:pt>
                <c:pt idx="95">
                  <c:v>23.297934808165838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F6-41D6-AC1D-64AF59AA653E}"/>
            </c:ext>
          </c:extLst>
        </c:ser>
        <c:ser>
          <c:idx val="1"/>
          <c:order val="1"/>
          <c:spPr>
            <a:ln w="3175">
              <a:solidFill>
                <a:srgbClr val="FF00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Anthropometrics!$B$58:$F$58</c:f>
              <c:numCache>
                <c:formatCode>m/d/yyyy</c:formatCode>
                <c:ptCount val="5"/>
              </c:numCache>
            </c:numRef>
          </c:xVal>
          <c:yVal>
            <c:numRef>
              <c:f>Anthropometrics!$B$83:$F$83</c:f>
              <c:numCache>
                <c:formatCode>0.00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F6-41D6-AC1D-64AF59AA653E}"/>
            </c:ext>
          </c:extLst>
        </c:ser>
        <c:ser>
          <c:idx val="2"/>
          <c:order val="2"/>
          <c:tx>
            <c:v>Treshold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Anthropometrics!$B$7:$AK$7</c:f>
              <c:numCache>
                <c:formatCode>m/d/yyyy</c:formatCode>
                <c:ptCount val="36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</c:numCache>
            </c:numRef>
          </c:xVal>
          <c:yVal>
            <c:numLit>
              <c:formatCode>General</c:formatCode>
              <c:ptCount val="60"/>
              <c:pt idx="0">
                <c:v>6.3</c:v>
              </c:pt>
              <c:pt idx="1">
                <c:v>6.3</c:v>
              </c:pt>
              <c:pt idx="2">
                <c:v>6.3</c:v>
              </c:pt>
              <c:pt idx="3">
                <c:v>6.3</c:v>
              </c:pt>
              <c:pt idx="4">
                <c:v>6.3</c:v>
              </c:pt>
              <c:pt idx="5">
                <c:v>6.3</c:v>
              </c:pt>
              <c:pt idx="6">
                <c:v>6.3</c:v>
              </c:pt>
              <c:pt idx="7">
                <c:v>6.3</c:v>
              </c:pt>
              <c:pt idx="8">
                <c:v>6.3</c:v>
              </c:pt>
              <c:pt idx="9">
                <c:v>6.3</c:v>
              </c:pt>
              <c:pt idx="10">
                <c:v>6.3</c:v>
              </c:pt>
              <c:pt idx="11">
                <c:v>6.3</c:v>
              </c:pt>
              <c:pt idx="12">
                <c:v>6.3</c:v>
              </c:pt>
              <c:pt idx="13">
                <c:v>6.3</c:v>
              </c:pt>
              <c:pt idx="14">
                <c:v>6.3</c:v>
              </c:pt>
              <c:pt idx="15">
                <c:v>6.3</c:v>
              </c:pt>
              <c:pt idx="16">
                <c:v>6.3</c:v>
              </c:pt>
              <c:pt idx="17">
                <c:v>6.3</c:v>
              </c:pt>
              <c:pt idx="18">
                <c:v>6.3</c:v>
              </c:pt>
              <c:pt idx="19">
                <c:v>6.3</c:v>
              </c:pt>
              <c:pt idx="20">
                <c:v>6.3</c:v>
              </c:pt>
              <c:pt idx="21">
                <c:v>6.3</c:v>
              </c:pt>
              <c:pt idx="22">
                <c:v>6.3</c:v>
              </c:pt>
              <c:pt idx="23">
                <c:v>6.3</c:v>
              </c:pt>
              <c:pt idx="24">
                <c:v>6.3</c:v>
              </c:pt>
              <c:pt idx="25">
                <c:v>6.3</c:v>
              </c:pt>
              <c:pt idx="26">
                <c:v>6.3</c:v>
              </c:pt>
              <c:pt idx="27">
                <c:v>6.3</c:v>
              </c:pt>
              <c:pt idx="28">
                <c:v>6.3</c:v>
              </c:pt>
              <c:pt idx="29">
                <c:v>6.3</c:v>
              </c:pt>
              <c:pt idx="30">
                <c:v>6.3</c:v>
              </c:pt>
              <c:pt idx="31">
                <c:v>6.3</c:v>
              </c:pt>
              <c:pt idx="32">
                <c:v>6.3</c:v>
              </c:pt>
              <c:pt idx="33">
                <c:v>6.3</c:v>
              </c:pt>
              <c:pt idx="34">
                <c:v>6.3</c:v>
              </c:pt>
              <c:pt idx="35">
                <c:v>6.3</c:v>
              </c:pt>
              <c:pt idx="36">
                <c:v>6.3</c:v>
              </c:pt>
              <c:pt idx="37">
                <c:v>6.3</c:v>
              </c:pt>
              <c:pt idx="38">
                <c:v>6.3</c:v>
              </c:pt>
              <c:pt idx="39">
                <c:v>6.3</c:v>
              </c:pt>
              <c:pt idx="40">
                <c:v>6.3</c:v>
              </c:pt>
              <c:pt idx="41">
                <c:v>6.3</c:v>
              </c:pt>
              <c:pt idx="42">
                <c:v>6.3</c:v>
              </c:pt>
              <c:pt idx="43">
                <c:v>6.3</c:v>
              </c:pt>
              <c:pt idx="44">
                <c:v>6.3</c:v>
              </c:pt>
              <c:pt idx="45">
                <c:v>6.3</c:v>
              </c:pt>
              <c:pt idx="46">
                <c:v>6.3</c:v>
              </c:pt>
              <c:pt idx="47">
                <c:v>6.3</c:v>
              </c:pt>
              <c:pt idx="48">
                <c:v>6.3</c:v>
              </c:pt>
              <c:pt idx="49">
                <c:v>6.3</c:v>
              </c:pt>
              <c:pt idx="50">
                <c:v>6.3</c:v>
              </c:pt>
              <c:pt idx="51">
                <c:v>6.3</c:v>
              </c:pt>
              <c:pt idx="52">
                <c:v>6.3</c:v>
              </c:pt>
              <c:pt idx="53">
                <c:v>6.3</c:v>
              </c:pt>
              <c:pt idx="54">
                <c:v>6.3</c:v>
              </c:pt>
              <c:pt idx="55">
                <c:v>6.3</c:v>
              </c:pt>
              <c:pt idx="56">
                <c:v>6.3</c:v>
              </c:pt>
              <c:pt idx="57">
                <c:v>6.3</c:v>
              </c:pt>
              <c:pt idx="58">
                <c:v>6.3</c:v>
              </c:pt>
              <c:pt idx="59">
                <c:v>6.3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2F6-41D6-AC1D-64AF59AA653E}"/>
            </c:ext>
          </c:extLst>
        </c:ser>
        <c:ser>
          <c:idx val="3"/>
          <c:order val="3"/>
          <c:tx>
            <c:v>Treshold2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Anthropometrics!$B$7:$AK$7</c:f>
              <c:numCache>
                <c:formatCode>m/d/yyyy</c:formatCode>
                <c:ptCount val="36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</c:numCache>
            </c:numRef>
          </c:xVal>
          <c:yVal>
            <c:numLit>
              <c:formatCode>General</c:formatCode>
              <c:ptCount val="40"/>
              <c:pt idx="0">
                <c:v>6.9</c:v>
              </c:pt>
              <c:pt idx="1">
                <c:v>6.9</c:v>
              </c:pt>
              <c:pt idx="2">
                <c:v>6.9</c:v>
              </c:pt>
              <c:pt idx="3">
                <c:v>6.9</c:v>
              </c:pt>
              <c:pt idx="4">
                <c:v>6.9</c:v>
              </c:pt>
              <c:pt idx="5">
                <c:v>6.9</c:v>
              </c:pt>
              <c:pt idx="6">
                <c:v>6.9</c:v>
              </c:pt>
              <c:pt idx="7">
                <c:v>6.9</c:v>
              </c:pt>
              <c:pt idx="8">
                <c:v>6.9</c:v>
              </c:pt>
              <c:pt idx="9">
                <c:v>6.9</c:v>
              </c:pt>
              <c:pt idx="10">
                <c:v>6.9</c:v>
              </c:pt>
              <c:pt idx="11">
                <c:v>6.9</c:v>
              </c:pt>
              <c:pt idx="12">
                <c:v>6.9</c:v>
              </c:pt>
              <c:pt idx="13">
                <c:v>6.9</c:v>
              </c:pt>
              <c:pt idx="14">
                <c:v>6.9</c:v>
              </c:pt>
              <c:pt idx="15">
                <c:v>6.9</c:v>
              </c:pt>
              <c:pt idx="16">
                <c:v>6.9</c:v>
              </c:pt>
              <c:pt idx="17">
                <c:v>6.9</c:v>
              </c:pt>
              <c:pt idx="18">
                <c:v>6.9</c:v>
              </c:pt>
              <c:pt idx="19">
                <c:v>6.9</c:v>
              </c:pt>
              <c:pt idx="20">
                <c:v>6.9</c:v>
              </c:pt>
              <c:pt idx="21">
                <c:v>6.9</c:v>
              </c:pt>
              <c:pt idx="22">
                <c:v>6.9</c:v>
              </c:pt>
              <c:pt idx="23">
                <c:v>6.9</c:v>
              </c:pt>
              <c:pt idx="24">
                <c:v>6.9</c:v>
              </c:pt>
              <c:pt idx="25">
                <c:v>6.9</c:v>
              </c:pt>
              <c:pt idx="26">
                <c:v>6.9</c:v>
              </c:pt>
              <c:pt idx="27">
                <c:v>6.9</c:v>
              </c:pt>
              <c:pt idx="28">
                <c:v>6.9</c:v>
              </c:pt>
              <c:pt idx="29">
                <c:v>6.9</c:v>
              </c:pt>
              <c:pt idx="30">
                <c:v>6.9</c:v>
              </c:pt>
              <c:pt idx="31">
                <c:v>6.9</c:v>
              </c:pt>
              <c:pt idx="32">
                <c:v>6.9</c:v>
              </c:pt>
              <c:pt idx="33">
                <c:v>6.9</c:v>
              </c:pt>
              <c:pt idx="34">
                <c:v>6.9</c:v>
              </c:pt>
              <c:pt idx="35">
                <c:v>6.9</c:v>
              </c:pt>
              <c:pt idx="36">
                <c:v>6.9</c:v>
              </c:pt>
              <c:pt idx="37">
                <c:v>6.9</c:v>
              </c:pt>
              <c:pt idx="38">
                <c:v>6.9</c:v>
              </c:pt>
              <c:pt idx="39">
                <c:v>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2F6-41D6-AC1D-64AF59AA6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93024"/>
        <c:axId val="132994560"/>
      </c:scatterChart>
      <c:valAx>
        <c:axId val="132993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94560"/>
        <c:crosses val="autoZero"/>
        <c:crossBetween val="midCat"/>
      </c:valAx>
      <c:valAx>
        <c:axId val="132994560"/>
        <c:scaling>
          <c:orientation val="minMax"/>
          <c:min val="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93024"/>
        <c:crosses val="autoZero"/>
        <c:crossBetween val="midCat"/>
        <c:maj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27407125694754"/>
          <c:y val="0.43642758143920962"/>
          <c:w val="9.4059557516562114E-2"/>
          <c:h val="9.62202541755737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306930693069327E-2"/>
          <c:y val="5.1546391752577317E-2"/>
          <c:w val="0.77722772277227725"/>
          <c:h val="0.84192439862542978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Anthropometrics!$B$7:$CV$7</c:f>
              <c:numCache>
                <c:formatCode>m/d/yyyy</c:formatCode>
                <c:ptCount val="99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  <c:pt idx="36">
                  <c:v>42018</c:v>
                </c:pt>
                <c:pt idx="37">
                  <c:v>42240</c:v>
                </c:pt>
                <c:pt idx="38">
                  <c:v>42281</c:v>
                </c:pt>
                <c:pt idx="39">
                  <c:v>42567</c:v>
                </c:pt>
                <c:pt idx="40">
                  <c:v>42573</c:v>
                </c:pt>
                <c:pt idx="41">
                  <c:v>42612</c:v>
                </c:pt>
                <c:pt idx="42">
                  <c:v>42638</c:v>
                </c:pt>
                <c:pt idx="43">
                  <c:v>42649</c:v>
                </c:pt>
                <c:pt idx="44">
                  <c:v>42655</c:v>
                </c:pt>
                <c:pt idx="45">
                  <c:v>42659</c:v>
                </c:pt>
                <c:pt idx="46">
                  <c:v>42663</c:v>
                </c:pt>
                <c:pt idx="47">
                  <c:v>42665</c:v>
                </c:pt>
                <c:pt idx="48">
                  <c:v>42667</c:v>
                </c:pt>
                <c:pt idx="49">
                  <c:v>42670</c:v>
                </c:pt>
                <c:pt idx="50">
                  <c:v>42674</c:v>
                </c:pt>
                <c:pt idx="51">
                  <c:v>42749</c:v>
                </c:pt>
                <c:pt idx="52">
                  <c:v>42756</c:v>
                </c:pt>
                <c:pt idx="53">
                  <c:v>42760</c:v>
                </c:pt>
                <c:pt idx="54">
                  <c:v>42768</c:v>
                </c:pt>
                <c:pt idx="55">
                  <c:v>42787</c:v>
                </c:pt>
                <c:pt idx="56">
                  <c:v>42802</c:v>
                </c:pt>
                <c:pt idx="57">
                  <c:v>42832</c:v>
                </c:pt>
                <c:pt idx="58">
                  <c:v>42833</c:v>
                </c:pt>
                <c:pt idx="59">
                  <c:v>42870</c:v>
                </c:pt>
                <c:pt idx="60">
                  <c:v>42893</c:v>
                </c:pt>
                <c:pt idx="61">
                  <c:v>42902</c:v>
                </c:pt>
                <c:pt idx="62">
                  <c:v>42913</c:v>
                </c:pt>
                <c:pt idx="63">
                  <c:v>42929</c:v>
                </c:pt>
                <c:pt idx="64">
                  <c:v>43241</c:v>
                </c:pt>
                <c:pt idx="65">
                  <c:v>43246</c:v>
                </c:pt>
                <c:pt idx="66">
                  <c:v>43280</c:v>
                </c:pt>
                <c:pt idx="67">
                  <c:v>43299</c:v>
                </c:pt>
                <c:pt idx="68">
                  <c:v>43306</c:v>
                </c:pt>
                <c:pt idx="69">
                  <c:v>43315</c:v>
                </c:pt>
                <c:pt idx="70">
                  <c:v>43322</c:v>
                </c:pt>
                <c:pt idx="71">
                  <c:v>43338</c:v>
                </c:pt>
                <c:pt idx="72">
                  <c:v>45019</c:v>
                </c:pt>
                <c:pt idx="73">
                  <c:v>45105</c:v>
                </c:pt>
                <c:pt idx="74">
                  <c:v>45153</c:v>
                </c:pt>
                <c:pt idx="75">
                  <c:v>45291</c:v>
                </c:pt>
                <c:pt idx="76">
                  <c:v>45308</c:v>
                </c:pt>
                <c:pt idx="77">
                  <c:v>45316</c:v>
                </c:pt>
                <c:pt idx="78">
                  <c:v>45323</c:v>
                </c:pt>
                <c:pt idx="79">
                  <c:v>45327</c:v>
                </c:pt>
                <c:pt idx="80">
                  <c:v>45331</c:v>
                </c:pt>
                <c:pt idx="81">
                  <c:v>45336</c:v>
                </c:pt>
                <c:pt idx="82">
                  <c:v>45342</c:v>
                </c:pt>
                <c:pt idx="83">
                  <c:v>45348</c:v>
                </c:pt>
                <c:pt idx="84">
                  <c:v>45369</c:v>
                </c:pt>
                <c:pt idx="85">
                  <c:v>45379</c:v>
                </c:pt>
                <c:pt idx="86">
                  <c:v>45390</c:v>
                </c:pt>
                <c:pt idx="87">
                  <c:v>45408</c:v>
                </c:pt>
                <c:pt idx="88">
                  <c:v>45435</c:v>
                </c:pt>
                <c:pt idx="89">
                  <c:v>45442</c:v>
                </c:pt>
                <c:pt idx="90">
                  <c:v>45451</c:v>
                </c:pt>
                <c:pt idx="91">
                  <c:v>45670</c:v>
                </c:pt>
                <c:pt idx="92">
                  <c:v>45700</c:v>
                </c:pt>
                <c:pt idx="93">
                  <c:v>45820</c:v>
                </c:pt>
                <c:pt idx="94">
                  <c:v>45946</c:v>
                </c:pt>
                <c:pt idx="95">
                  <c:v>46111</c:v>
                </c:pt>
              </c:numCache>
            </c:numRef>
          </c:xVal>
          <c:yVal>
            <c:numRef>
              <c:f>Anthropometrics!$B$33:$CV$33</c:f>
              <c:numCache>
                <c:formatCode>0.00</c:formatCode>
                <c:ptCount val="99"/>
                <c:pt idx="0">
                  <c:v>53.522568434507022</c:v>
                </c:pt>
                <c:pt idx="2">
                  <c:v>54.050259977878746</c:v>
                </c:pt>
                <c:pt idx="4">
                  <c:v>56.990304428582192</c:v>
                </c:pt>
                <c:pt idx="5">
                  <c:v>54.655096192315582</c:v>
                </c:pt>
                <c:pt idx="9">
                  <c:v>55.625988728242959</c:v>
                </c:pt>
                <c:pt idx="10">
                  <c:v>54.469420720088912</c:v>
                </c:pt>
                <c:pt idx="11">
                  <c:v>55.528471933764983</c:v>
                </c:pt>
                <c:pt idx="13">
                  <c:v>54.788953757450699</c:v>
                </c:pt>
                <c:pt idx="14">
                  <c:v>55.795871978096272</c:v>
                </c:pt>
                <c:pt idx="15">
                  <c:v>56.452821165316152</c:v>
                </c:pt>
                <c:pt idx="16">
                  <c:v>55.665977583728782</c:v>
                </c:pt>
                <c:pt idx="17">
                  <c:v>55.816851243055275</c:v>
                </c:pt>
                <c:pt idx="18">
                  <c:v>56.744927064578846</c:v>
                </c:pt>
                <c:pt idx="19">
                  <c:v>56.135926836748659</c:v>
                </c:pt>
                <c:pt idx="20">
                  <c:v>57.38975578122178</c:v>
                </c:pt>
                <c:pt idx="22">
                  <c:v>56.242871671467533</c:v>
                </c:pt>
                <c:pt idx="23">
                  <c:v>57.626886121034204</c:v>
                </c:pt>
                <c:pt idx="24">
                  <c:v>57.272363791420915</c:v>
                </c:pt>
                <c:pt idx="25">
                  <c:v>57.289543703306627</c:v>
                </c:pt>
                <c:pt idx="26">
                  <c:v>56.686231607826606</c:v>
                </c:pt>
                <c:pt idx="27">
                  <c:v>56.853893585980408</c:v>
                </c:pt>
                <c:pt idx="28">
                  <c:v>58.226514670670944</c:v>
                </c:pt>
                <c:pt idx="29">
                  <c:v>58.365261364470854</c:v>
                </c:pt>
                <c:pt idx="30">
                  <c:v>58.408710237997596</c:v>
                </c:pt>
                <c:pt idx="32">
                  <c:v>55.636057009794591</c:v>
                </c:pt>
                <c:pt idx="33">
                  <c:v>55.61116987851991</c:v>
                </c:pt>
                <c:pt idx="34">
                  <c:v>56.203690266421326</c:v>
                </c:pt>
                <c:pt idx="35">
                  <c:v>56.292246457545943</c:v>
                </c:pt>
                <c:pt idx="36">
                  <c:v>56.605649930008937</c:v>
                </c:pt>
                <c:pt idx="37">
                  <c:v>57.626136409040733</c:v>
                </c:pt>
                <c:pt idx="38">
                  <c:v>57.366909922352377</c:v>
                </c:pt>
                <c:pt idx="39">
                  <c:v>57.359999981973644</c:v>
                </c:pt>
                <c:pt idx="40">
                  <c:v>57.490325936961099</c:v>
                </c:pt>
                <c:pt idx="41">
                  <c:v>59.096146574820715</c:v>
                </c:pt>
                <c:pt idx="42">
                  <c:v>57.10250419037947</c:v>
                </c:pt>
                <c:pt idx="43">
                  <c:v>59.055014168344478</c:v>
                </c:pt>
                <c:pt idx="44">
                  <c:v>58.056448414301556</c:v>
                </c:pt>
                <c:pt idx="45">
                  <c:v>57.789979173465142</c:v>
                </c:pt>
                <c:pt idx="46">
                  <c:v>56.83168706801073</c:v>
                </c:pt>
                <c:pt idx="47">
                  <c:v>56.858306162710086</c:v>
                </c:pt>
                <c:pt idx="48">
                  <c:v>57.839837626110878</c:v>
                </c:pt>
                <c:pt idx="49">
                  <c:v>58.365841516246718</c:v>
                </c:pt>
                <c:pt idx="50">
                  <c:v>57.485145643689918</c:v>
                </c:pt>
                <c:pt idx="51">
                  <c:v>57.35155607883906</c:v>
                </c:pt>
                <c:pt idx="52">
                  <c:v>59.373888215056418</c:v>
                </c:pt>
                <c:pt idx="53">
                  <c:v>58.273512681217639</c:v>
                </c:pt>
                <c:pt idx="54">
                  <c:v>59.531378634724994</c:v>
                </c:pt>
                <c:pt idx="55">
                  <c:v>58.912811966748393</c:v>
                </c:pt>
                <c:pt idx="56">
                  <c:v>59.868204287245035</c:v>
                </c:pt>
                <c:pt idx="57">
                  <c:v>60.585855983203217</c:v>
                </c:pt>
                <c:pt idx="58">
                  <c:v>58.808784495468117</c:v>
                </c:pt>
                <c:pt idx="59">
                  <c:v>60.159080952793765</c:v>
                </c:pt>
                <c:pt idx="60">
                  <c:v>61.627677348315942</c:v>
                </c:pt>
                <c:pt idx="61">
                  <c:v>60.667675815296583</c:v>
                </c:pt>
                <c:pt idx="62">
                  <c:v>61.551256217997278</c:v>
                </c:pt>
                <c:pt idx="63">
                  <c:v>61.32662913618843</c:v>
                </c:pt>
                <c:pt idx="64">
                  <c:v>58.210834524299045</c:v>
                </c:pt>
                <c:pt idx="65">
                  <c:v>57.927862355441022</c:v>
                </c:pt>
                <c:pt idx="66">
                  <c:v>57.058429809065935</c:v>
                </c:pt>
                <c:pt idx="67">
                  <c:v>57.701442463443854</c:v>
                </c:pt>
                <c:pt idx="68">
                  <c:v>57.23904125886596</c:v>
                </c:pt>
                <c:pt idx="69">
                  <c:v>57.789056534030223</c:v>
                </c:pt>
                <c:pt idx="70">
                  <c:v>57.606606808105667</c:v>
                </c:pt>
                <c:pt idx="71">
                  <c:v>58.341816773116136</c:v>
                </c:pt>
                <c:pt idx="72">
                  <c:v>59.826476791638264</c:v>
                </c:pt>
                <c:pt idx="73">
                  <c:v>59.877322444134506</c:v>
                </c:pt>
                <c:pt idx="74">
                  <c:v>60.743324818142327</c:v>
                </c:pt>
                <c:pt idx="75">
                  <c:v>61.062404555923678</c:v>
                </c:pt>
                <c:pt idx="76">
                  <c:v>60.038944344879432</c:v>
                </c:pt>
                <c:pt idx="77">
                  <c:v>60.366111994306806</c:v>
                </c:pt>
                <c:pt idx="78">
                  <c:v>60.085586819647411</c:v>
                </c:pt>
                <c:pt idx="79">
                  <c:v>58.966837362344364</c:v>
                </c:pt>
                <c:pt idx="80">
                  <c:v>59.603531559933884</c:v>
                </c:pt>
                <c:pt idx="81">
                  <c:v>59.707405908856288</c:v>
                </c:pt>
                <c:pt idx="82">
                  <c:v>59.050445121716095</c:v>
                </c:pt>
                <c:pt idx="83">
                  <c:v>59.220927190676214</c:v>
                </c:pt>
                <c:pt idx="84">
                  <c:v>58.94860832514513</c:v>
                </c:pt>
                <c:pt idx="85">
                  <c:v>58.972306837228444</c:v>
                </c:pt>
                <c:pt idx="86">
                  <c:v>58.711384638733207</c:v>
                </c:pt>
                <c:pt idx="87">
                  <c:v>59.363533457890398</c:v>
                </c:pt>
                <c:pt idx="88">
                  <c:v>58.538488050004823</c:v>
                </c:pt>
                <c:pt idx="89">
                  <c:v>58.153329614601773</c:v>
                </c:pt>
                <c:pt idx="90">
                  <c:v>59.136235571436799</c:v>
                </c:pt>
                <c:pt idx="91">
                  <c:v>59.059926684251757</c:v>
                </c:pt>
                <c:pt idx="92">
                  <c:v>59.070852099824535</c:v>
                </c:pt>
                <c:pt idx="93">
                  <c:v>58.34581031169273</c:v>
                </c:pt>
                <c:pt idx="94">
                  <c:v>59.106421047095097</c:v>
                </c:pt>
                <c:pt idx="95">
                  <c:v>59.30206519183416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E9-42E1-B13E-A377DAF4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35520"/>
        <c:axId val="133037440"/>
      </c:scatterChart>
      <c:valAx>
        <c:axId val="133035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037440"/>
        <c:crosses val="autoZero"/>
        <c:crossBetween val="midCat"/>
      </c:valAx>
      <c:valAx>
        <c:axId val="133037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03552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128712871287128"/>
          <c:y val="0.38831615120274915"/>
          <c:w val="0.11221122112211221"/>
          <c:h val="6.87285223367697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899999956" l="0.78740157499999996" r="0.78740157499999996" t="0.98425196899999956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Anthropometrics!$A$35</c:f>
              <c:strCache>
                <c:ptCount val="1"/>
                <c:pt idx="0">
                  <c:v>FFMI_std (for 1.8m)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Anthropometrics!$B$7:$CR$7</c:f>
              <c:numCache>
                <c:formatCode>m/d/yyyy</c:formatCode>
                <c:ptCount val="95"/>
                <c:pt idx="0">
                  <c:v>41285</c:v>
                </c:pt>
                <c:pt idx="1">
                  <c:v>41318</c:v>
                </c:pt>
                <c:pt idx="2">
                  <c:v>41339</c:v>
                </c:pt>
                <c:pt idx="3">
                  <c:v>41362</c:v>
                </c:pt>
                <c:pt idx="4">
                  <c:v>41377</c:v>
                </c:pt>
                <c:pt idx="5">
                  <c:v>41440</c:v>
                </c:pt>
                <c:pt idx="6">
                  <c:v>41446</c:v>
                </c:pt>
                <c:pt idx="7">
                  <c:v>41452</c:v>
                </c:pt>
                <c:pt idx="8">
                  <c:v>41456</c:v>
                </c:pt>
                <c:pt idx="9">
                  <c:v>41463</c:v>
                </c:pt>
                <c:pt idx="10">
                  <c:v>41470</c:v>
                </c:pt>
                <c:pt idx="11">
                  <c:v>41479</c:v>
                </c:pt>
                <c:pt idx="12">
                  <c:v>41485</c:v>
                </c:pt>
                <c:pt idx="13">
                  <c:v>41518</c:v>
                </c:pt>
                <c:pt idx="14">
                  <c:v>41527</c:v>
                </c:pt>
                <c:pt idx="15">
                  <c:v>41532</c:v>
                </c:pt>
                <c:pt idx="16">
                  <c:v>41547</c:v>
                </c:pt>
                <c:pt idx="17">
                  <c:v>41550</c:v>
                </c:pt>
                <c:pt idx="18">
                  <c:v>41555</c:v>
                </c:pt>
                <c:pt idx="19">
                  <c:v>41561</c:v>
                </c:pt>
                <c:pt idx="20">
                  <c:v>41569</c:v>
                </c:pt>
                <c:pt idx="21">
                  <c:v>41574</c:v>
                </c:pt>
                <c:pt idx="22">
                  <c:v>41580</c:v>
                </c:pt>
                <c:pt idx="23">
                  <c:v>41588</c:v>
                </c:pt>
                <c:pt idx="24">
                  <c:v>41594</c:v>
                </c:pt>
                <c:pt idx="25">
                  <c:v>41598</c:v>
                </c:pt>
                <c:pt idx="26">
                  <c:v>41603</c:v>
                </c:pt>
                <c:pt idx="27">
                  <c:v>41624</c:v>
                </c:pt>
                <c:pt idx="28">
                  <c:v>41637</c:v>
                </c:pt>
                <c:pt idx="29">
                  <c:v>41643</c:v>
                </c:pt>
                <c:pt idx="30">
                  <c:v>41652</c:v>
                </c:pt>
                <c:pt idx="31">
                  <c:v>41744</c:v>
                </c:pt>
                <c:pt idx="32">
                  <c:v>41991</c:v>
                </c:pt>
                <c:pt idx="33">
                  <c:v>42001</c:v>
                </c:pt>
                <c:pt idx="34">
                  <c:v>42011</c:v>
                </c:pt>
                <c:pt idx="35">
                  <c:v>42014</c:v>
                </c:pt>
                <c:pt idx="36">
                  <c:v>42018</c:v>
                </c:pt>
                <c:pt idx="37">
                  <c:v>42240</c:v>
                </c:pt>
                <c:pt idx="38">
                  <c:v>42281</c:v>
                </c:pt>
                <c:pt idx="39">
                  <c:v>42567</c:v>
                </c:pt>
                <c:pt idx="40">
                  <c:v>42573</c:v>
                </c:pt>
                <c:pt idx="41">
                  <c:v>42612</c:v>
                </c:pt>
                <c:pt idx="42">
                  <c:v>42638</c:v>
                </c:pt>
                <c:pt idx="43">
                  <c:v>42649</c:v>
                </c:pt>
                <c:pt idx="44">
                  <c:v>42655</c:v>
                </c:pt>
                <c:pt idx="45">
                  <c:v>42659</c:v>
                </c:pt>
                <c:pt idx="46">
                  <c:v>42663</c:v>
                </c:pt>
                <c:pt idx="47">
                  <c:v>42665</c:v>
                </c:pt>
                <c:pt idx="48">
                  <c:v>42667</c:v>
                </c:pt>
                <c:pt idx="49">
                  <c:v>42670</c:v>
                </c:pt>
                <c:pt idx="50">
                  <c:v>42674</c:v>
                </c:pt>
                <c:pt idx="51">
                  <c:v>42749</c:v>
                </c:pt>
                <c:pt idx="52">
                  <c:v>42756</c:v>
                </c:pt>
                <c:pt idx="53">
                  <c:v>42760</c:v>
                </c:pt>
                <c:pt idx="54">
                  <c:v>42768</c:v>
                </c:pt>
                <c:pt idx="55">
                  <c:v>42787</c:v>
                </c:pt>
                <c:pt idx="56">
                  <c:v>42802</c:v>
                </c:pt>
                <c:pt idx="57">
                  <c:v>42832</c:v>
                </c:pt>
                <c:pt idx="58">
                  <c:v>42833</c:v>
                </c:pt>
                <c:pt idx="59">
                  <c:v>42870</c:v>
                </c:pt>
                <c:pt idx="60">
                  <c:v>42893</c:v>
                </c:pt>
                <c:pt idx="61">
                  <c:v>42902</c:v>
                </c:pt>
                <c:pt idx="62">
                  <c:v>42913</c:v>
                </c:pt>
                <c:pt idx="63">
                  <c:v>42929</c:v>
                </c:pt>
                <c:pt idx="64">
                  <c:v>43241</c:v>
                </c:pt>
                <c:pt idx="65">
                  <c:v>43246</c:v>
                </c:pt>
                <c:pt idx="66">
                  <c:v>43280</c:v>
                </c:pt>
                <c:pt idx="67">
                  <c:v>43299</c:v>
                </c:pt>
                <c:pt idx="68">
                  <c:v>43306</c:v>
                </c:pt>
                <c:pt idx="69">
                  <c:v>43315</c:v>
                </c:pt>
                <c:pt idx="70">
                  <c:v>43322</c:v>
                </c:pt>
                <c:pt idx="71">
                  <c:v>43338</c:v>
                </c:pt>
                <c:pt idx="72">
                  <c:v>45019</c:v>
                </c:pt>
                <c:pt idx="73">
                  <c:v>45105</c:v>
                </c:pt>
                <c:pt idx="74">
                  <c:v>45153</c:v>
                </c:pt>
                <c:pt idx="75">
                  <c:v>45291</c:v>
                </c:pt>
                <c:pt idx="76">
                  <c:v>45308</c:v>
                </c:pt>
                <c:pt idx="77">
                  <c:v>45316</c:v>
                </c:pt>
                <c:pt idx="78">
                  <c:v>45323</c:v>
                </c:pt>
                <c:pt idx="79">
                  <c:v>45327</c:v>
                </c:pt>
                <c:pt idx="80">
                  <c:v>45331</c:v>
                </c:pt>
                <c:pt idx="81">
                  <c:v>45336</c:v>
                </c:pt>
                <c:pt idx="82">
                  <c:v>45342</c:v>
                </c:pt>
                <c:pt idx="83">
                  <c:v>45348</c:v>
                </c:pt>
                <c:pt idx="84">
                  <c:v>45369</c:v>
                </c:pt>
                <c:pt idx="85">
                  <c:v>45379</c:v>
                </c:pt>
                <c:pt idx="86">
                  <c:v>45390</c:v>
                </c:pt>
                <c:pt idx="87">
                  <c:v>45408</c:v>
                </c:pt>
                <c:pt idx="88">
                  <c:v>45435</c:v>
                </c:pt>
                <c:pt idx="89">
                  <c:v>45442</c:v>
                </c:pt>
                <c:pt idx="90">
                  <c:v>45451</c:v>
                </c:pt>
                <c:pt idx="91">
                  <c:v>45670</c:v>
                </c:pt>
                <c:pt idx="92">
                  <c:v>45700</c:v>
                </c:pt>
                <c:pt idx="93">
                  <c:v>45820</c:v>
                </c:pt>
                <c:pt idx="94">
                  <c:v>45946</c:v>
                </c:pt>
              </c:numCache>
            </c:numRef>
          </c:xVal>
          <c:yVal>
            <c:numRef>
              <c:f>Anthropometrics!$B$35:$CR$35</c:f>
              <c:numCache>
                <c:formatCode>General</c:formatCode>
                <c:ptCount val="95"/>
                <c:pt idx="0" formatCode="0.0">
                  <c:v>19.695495051908669</c:v>
                </c:pt>
                <c:pt idx="2" formatCode="0.0">
                  <c:v>19.882460593069286</c:v>
                </c:pt>
                <c:pt idx="4" formatCode="0.0">
                  <c:v>20.924143008993127</c:v>
                </c:pt>
                <c:pt idx="5" formatCode="0.0">
                  <c:v>20.096759138433811</c:v>
                </c:pt>
                <c:pt idx="9" formatCode="0.0">
                  <c:v>20.440754509723273</c:v>
                </c:pt>
                <c:pt idx="10" formatCode="0.0">
                  <c:v>20.030972760802481</c:v>
                </c:pt>
                <c:pt idx="11" formatCode="0.0">
                  <c:v>20.406203491271608</c:v>
                </c:pt>
                <c:pt idx="13" formatCode="0.0">
                  <c:v>20.14418599682919</c:v>
                </c:pt>
                <c:pt idx="14" formatCode="0.0">
                  <c:v>20.50094557047062</c:v>
                </c:pt>
                <c:pt idx="15" formatCode="0.0">
                  <c:v>20.733708179321201</c:v>
                </c:pt>
                <c:pt idx="16" formatCode="0.0">
                  <c:v>20.454922896729304</c:v>
                </c:pt>
                <c:pt idx="17" formatCode="0.0">
                  <c:v>20.508378700062103</c:v>
                </c:pt>
                <c:pt idx="18" formatCode="0.0">
                  <c:v>20.837203750205092</c:v>
                </c:pt>
                <c:pt idx="19" formatCode="0.0">
                  <c:v>20.621429859959136</c:v>
                </c:pt>
                <c:pt idx="20" formatCode="0.0">
                  <c:v>21.065671974639237</c:v>
                </c:pt>
                <c:pt idx="22" formatCode="0.0">
                  <c:v>20.65932131216962</c:v>
                </c:pt>
                <c:pt idx="23" formatCode="0.0">
                  <c:v>21.14968924356371</c:v>
                </c:pt>
                <c:pt idx="24" formatCode="0.0">
                  <c:v>21.024079007731334</c:v>
                </c:pt>
                <c:pt idx="25" formatCode="0.0">
                  <c:v>21.030165994652293</c:v>
                </c:pt>
                <c:pt idx="26" formatCode="0.0">
                  <c:v>20.816407457421562</c:v>
                </c:pt>
                <c:pt idx="27" formatCode="0.0">
                  <c:v>20.875811502969253</c:v>
                </c:pt>
                <c:pt idx="28" formatCode="0.0">
                  <c:v>21.362142669597134</c:v>
                </c:pt>
                <c:pt idx="29" formatCode="0.0">
                  <c:v>21.411301787298349</c:v>
                </c:pt>
                <c:pt idx="30" formatCode="0.0">
                  <c:v>21.426696087725908</c:v>
                </c:pt>
                <c:pt idx="32" formatCode="0.0">
                  <c:v>20.444321786350127</c:v>
                </c:pt>
                <c:pt idx="33" formatCode="0.0">
                  <c:v>20.435504066935913</c:v>
                </c:pt>
                <c:pt idx="34" formatCode="0.0">
                  <c:v>20.645439011628874</c:v>
                </c:pt>
                <c:pt idx="35" formatCode="0.0">
                  <c:v>20.676815213132777</c:v>
                </c:pt>
                <c:pt idx="36" formatCode="0.0">
                  <c:v>20.787856692888656</c:v>
                </c:pt>
                <c:pt idx="37" formatCode="0.0">
                  <c:v>21.149423614314323</c:v>
                </c:pt>
                <c:pt idx="38" formatCode="0.0">
                  <c:v>21.057577495164534</c:v>
                </c:pt>
                <c:pt idx="39" formatCode="0.0">
                  <c:v>21.055129245313793</c:v>
                </c:pt>
                <c:pt idx="40" formatCode="0.0">
                  <c:v>21.101304824603567</c:v>
                </c:pt>
                <c:pt idx="41" formatCode="0.0">
                  <c:v>21.670260549468793</c:v>
                </c:pt>
                <c:pt idx="42" formatCode="0.0">
                  <c:v>20.963896325956448</c:v>
                </c:pt>
                <c:pt idx="43" formatCode="0.0">
                  <c:v>21.65568699275244</c:v>
                </c:pt>
                <c:pt idx="44" formatCode="0.0">
                  <c:v>21.301886768105714</c:v>
                </c:pt>
                <c:pt idx="45" formatCode="0.0">
                  <c:v>21.207474480394399</c:v>
                </c:pt>
                <c:pt idx="46" formatCode="0.0">
                  <c:v>20.867943547339404</c:v>
                </c:pt>
                <c:pt idx="47" formatCode="0.0">
                  <c:v>20.877374915926193</c:v>
                </c:pt>
                <c:pt idx="48" formatCode="0.0">
                  <c:v>21.225139748480331</c:v>
                </c:pt>
                <c:pt idx="49" formatCode="0.0">
                  <c:v>21.411507339940023</c:v>
                </c:pt>
                <c:pt idx="50" formatCode="0.0">
                  <c:v>21.09946940323481</c:v>
                </c:pt>
                <c:pt idx="51" formatCode="0.0">
                  <c:v>21.052137499588671</c:v>
                </c:pt>
                <c:pt idx="52" formatCode="0.0">
                  <c:v>21.768666742862962</c:v>
                </c:pt>
                <c:pt idx="53" formatCode="0.0">
                  <c:v>21.378794459048201</c:v>
                </c:pt>
                <c:pt idx="54" formatCode="0.0">
                  <c:v>21.824466919899731</c:v>
                </c:pt>
                <c:pt idx="55" formatCode="0.0">
                  <c:v>21.60530355964725</c:v>
                </c:pt>
                <c:pt idx="56" formatCode="0.0">
                  <c:v>21.943807074562443</c:v>
                </c:pt>
                <c:pt idx="57" formatCode="0.0">
                  <c:v>22.198077091554431</c:v>
                </c:pt>
                <c:pt idx="58" formatCode="0.0">
                  <c:v>21.568445753779805</c:v>
                </c:pt>
                <c:pt idx="59" formatCode="0.0">
                  <c:v>22.046867117628178</c:v>
                </c:pt>
                <c:pt idx="60" formatCode="0.0">
                  <c:v>22.567203142118746</c:v>
                </c:pt>
                <c:pt idx="61" formatCode="0.0">
                  <c:v>22.227066544535358</c:v>
                </c:pt>
                <c:pt idx="62" formatCode="0.0">
                  <c:v>22.540126494471828</c:v>
                </c:pt>
                <c:pt idx="63" formatCode="0.0">
                  <c:v>22.460539234760642</c:v>
                </c:pt>
                <c:pt idx="64" formatCode="0.0">
                  <c:v>21.356587062180786</c:v>
                </c:pt>
                <c:pt idx="65" formatCode="0.0">
                  <c:v>21.256327648611475</c:v>
                </c:pt>
                <c:pt idx="66" formatCode="0.0">
                  <c:v>20.948280402872005</c:v>
                </c:pt>
                <c:pt idx="67" formatCode="0.0">
                  <c:v>21.17610518120885</c:v>
                </c:pt>
                <c:pt idx="68" formatCode="0.0">
                  <c:v>21.012272554870311</c:v>
                </c:pt>
                <c:pt idx="69" formatCode="0.0">
                  <c:v>21.207147581501641</c:v>
                </c:pt>
                <c:pt idx="70" formatCode="0.0">
                  <c:v>21.142504112849231</c:v>
                </c:pt>
                <c:pt idx="71" formatCode="0.0">
                  <c:v>21.402995171880718</c:v>
                </c:pt>
                <c:pt idx="72" formatCode="0.0">
                  <c:v>21.92902267277433</c:v>
                </c:pt>
                <c:pt idx="73" formatCode="0.0">
                  <c:v>21.947037714049927</c:v>
                </c:pt>
                <c:pt idx="74" formatCode="0.0">
                  <c:v>22.253869620940453</c:v>
                </c:pt>
                <c:pt idx="75" formatCode="0.0">
                  <c:v>22.36692224912262</c:v>
                </c:pt>
                <c:pt idx="76" formatCode="0.0">
                  <c:v>22.004301709495266</c:v>
                </c:pt>
                <c:pt idx="77" formatCode="0.0">
                  <c:v>22.120219952631381</c:v>
                </c:pt>
                <c:pt idx="78" formatCode="0.0">
                  <c:v>22.020827529636982</c:v>
                </c:pt>
                <c:pt idx="79" formatCode="0.0">
                  <c:v>21.624445210581197</c:v>
                </c:pt>
                <c:pt idx="80" formatCode="0.0">
                  <c:v>21.850031306665919</c:v>
                </c:pt>
                <c:pt idx="81" formatCode="0.0">
                  <c:v>21.886834859997268</c:v>
                </c:pt>
                <c:pt idx="82" formatCode="0.0">
                  <c:v>21.654068141197598</c:v>
                </c:pt>
                <c:pt idx="83" formatCode="0.0">
                  <c:v>21.714471368578593</c:v>
                </c:pt>
                <c:pt idx="84" formatCode="0.0">
                  <c:v>21.617986509759472</c:v>
                </c:pt>
                <c:pt idx="85" formatCode="0.0">
                  <c:v>21.626383091421644</c:v>
                </c:pt>
                <c:pt idx="86" formatCode="0.0">
                  <c:v>21.533936167351619</c:v>
                </c:pt>
                <c:pt idx="87" formatCode="0.0">
                  <c:v>21.764997965522394</c:v>
                </c:pt>
                <c:pt idx="88" formatCode="0.0">
                  <c:v>21.472677455358856</c:v>
                </c:pt>
                <c:pt idx="89" formatCode="0.0">
                  <c:v>21.336212590207548</c:v>
                </c:pt>
                <c:pt idx="90" formatCode="0.0">
                  <c:v>21.684464417317461</c:v>
                </c:pt>
                <c:pt idx="91" formatCode="0.0">
                  <c:v>21.657427538354508</c:v>
                </c:pt>
                <c:pt idx="92" formatCode="0.0">
                  <c:v>21.661298504756427</c:v>
                </c:pt>
                <c:pt idx="93" formatCode="0.0">
                  <c:v>21.404410116104287</c:v>
                </c:pt>
                <c:pt idx="94" formatCode="0.0">
                  <c:v>21.673900881198662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9-4CC3-AE86-10A46EA61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298384"/>
        <c:axId val="1081307384"/>
      </c:scatterChart>
      <c:valAx>
        <c:axId val="108129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07384"/>
        <c:crosses val="autoZero"/>
        <c:crossBetween val="midCat"/>
      </c:valAx>
      <c:valAx>
        <c:axId val="108130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298384"/>
        <c:crosses val="autoZero"/>
        <c:crossBetween val="midCat"/>
      </c:valAx>
      <c:spPr>
        <a:noFill/>
        <a:ln>
          <a:solidFill>
            <a:schemeClr val="accent6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90"/>
            <c:dispRSqr val="0"/>
            <c:dispEq val="0"/>
          </c:trendline>
          <c:xVal>
            <c:numRef>
              <c:f>Anthropometrics!$BY$7:$CD$7</c:f>
              <c:numCache>
                <c:formatCode>m/d/yyyy</c:formatCode>
                <c:ptCount val="6"/>
                <c:pt idx="0">
                  <c:v>45291</c:v>
                </c:pt>
                <c:pt idx="1">
                  <c:v>45308</c:v>
                </c:pt>
                <c:pt idx="2">
                  <c:v>45316</c:v>
                </c:pt>
                <c:pt idx="3">
                  <c:v>45323</c:v>
                </c:pt>
                <c:pt idx="4">
                  <c:v>45327</c:v>
                </c:pt>
                <c:pt idx="5">
                  <c:v>45331</c:v>
                </c:pt>
              </c:numCache>
            </c:numRef>
          </c:xVal>
          <c:yVal>
            <c:numRef>
              <c:f>Anthropometrics!$BY$32:$CD$32</c:f>
              <c:numCache>
                <c:formatCode>0.00</c:formatCode>
                <c:ptCount val="6"/>
                <c:pt idx="0">
                  <c:v>26.137595444076322</c:v>
                </c:pt>
                <c:pt idx="1">
                  <c:v>25.761055655120565</c:v>
                </c:pt>
                <c:pt idx="2">
                  <c:v>24.933888005693188</c:v>
                </c:pt>
                <c:pt idx="3">
                  <c:v>24.614413180352592</c:v>
                </c:pt>
                <c:pt idx="4">
                  <c:v>24.333162637655629</c:v>
                </c:pt>
                <c:pt idx="5">
                  <c:v>23.99646844006611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0A-4206-9A3E-2F687EEE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595168"/>
        <c:axId val="876598048"/>
      </c:scatterChart>
      <c:valAx>
        <c:axId val="87659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98048"/>
        <c:crosses val="autoZero"/>
        <c:crossBetween val="midCat"/>
      </c:valAx>
      <c:valAx>
        <c:axId val="87659804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9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Zsír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Anthropometrics!$BY$7:$CT$7</c:f>
              <c:numCache>
                <c:formatCode>m/d/yyyy</c:formatCode>
                <c:ptCount val="22"/>
                <c:pt idx="0">
                  <c:v>45291</c:v>
                </c:pt>
                <c:pt idx="1">
                  <c:v>45308</c:v>
                </c:pt>
                <c:pt idx="2">
                  <c:v>45316</c:v>
                </c:pt>
                <c:pt idx="3">
                  <c:v>45323</c:v>
                </c:pt>
                <c:pt idx="4">
                  <c:v>45327</c:v>
                </c:pt>
                <c:pt idx="5">
                  <c:v>45331</c:v>
                </c:pt>
                <c:pt idx="6">
                  <c:v>45336</c:v>
                </c:pt>
                <c:pt idx="7">
                  <c:v>45342</c:v>
                </c:pt>
                <c:pt idx="8">
                  <c:v>45348</c:v>
                </c:pt>
                <c:pt idx="9">
                  <c:v>45369</c:v>
                </c:pt>
                <c:pt idx="10">
                  <c:v>45379</c:v>
                </c:pt>
                <c:pt idx="11">
                  <c:v>45390</c:v>
                </c:pt>
                <c:pt idx="12">
                  <c:v>45408</c:v>
                </c:pt>
                <c:pt idx="13">
                  <c:v>45435</c:v>
                </c:pt>
                <c:pt idx="14">
                  <c:v>45442</c:v>
                </c:pt>
                <c:pt idx="15">
                  <c:v>45451</c:v>
                </c:pt>
                <c:pt idx="16">
                  <c:v>45670</c:v>
                </c:pt>
                <c:pt idx="17">
                  <c:v>45700</c:v>
                </c:pt>
                <c:pt idx="18">
                  <c:v>45820</c:v>
                </c:pt>
                <c:pt idx="19">
                  <c:v>45946</c:v>
                </c:pt>
                <c:pt idx="20">
                  <c:v>46111</c:v>
                </c:pt>
              </c:numCache>
            </c:numRef>
          </c:xVal>
          <c:yVal>
            <c:numRef>
              <c:f>Anthropometrics!$BY$32:$CT$32</c:f>
              <c:numCache>
                <c:formatCode>0.00</c:formatCode>
                <c:ptCount val="22"/>
                <c:pt idx="0">
                  <c:v>26.137595444076322</c:v>
                </c:pt>
                <c:pt idx="1">
                  <c:v>25.761055655120565</c:v>
                </c:pt>
                <c:pt idx="2">
                  <c:v>24.933888005693188</c:v>
                </c:pt>
                <c:pt idx="3">
                  <c:v>24.614413180352592</c:v>
                </c:pt>
                <c:pt idx="4">
                  <c:v>24.333162637655629</c:v>
                </c:pt>
                <c:pt idx="5">
                  <c:v>23.99646844006611</c:v>
                </c:pt>
                <c:pt idx="6">
                  <c:v>24.292594091143712</c:v>
                </c:pt>
                <c:pt idx="7">
                  <c:v>23.949554878283909</c:v>
                </c:pt>
                <c:pt idx="8">
                  <c:v>23.87907280932378</c:v>
                </c:pt>
                <c:pt idx="9">
                  <c:v>23.351391674854863</c:v>
                </c:pt>
                <c:pt idx="10">
                  <c:v>23.127693162771546</c:v>
                </c:pt>
                <c:pt idx="11">
                  <c:v>22.488615361266799</c:v>
                </c:pt>
                <c:pt idx="12">
                  <c:v>22.7364665421096</c:v>
                </c:pt>
                <c:pt idx="13">
                  <c:v>22.361511949995183</c:v>
                </c:pt>
                <c:pt idx="14">
                  <c:v>22.046670385398226</c:v>
                </c:pt>
                <c:pt idx="15">
                  <c:v>22.0637644285632</c:v>
                </c:pt>
                <c:pt idx="16">
                  <c:v>22.740073315748241</c:v>
                </c:pt>
                <c:pt idx="17">
                  <c:v>22.329147900175471</c:v>
                </c:pt>
                <c:pt idx="18">
                  <c:v>22.654189688307266</c:v>
                </c:pt>
                <c:pt idx="19">
                  <c:v>22.693578952904904</c:v>
                </c:pt>
                <c:pt idx="20">
                  <c:v>23.297934808165838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8-4C32-9E51-482224A20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105592"/>
        <c:axId val="1037611744"/>
      </c:scatterChart>
      <c:valAx>
        <c:axId val="588105592"/>
        <c:scaling>
          <c:orientation val="minMax"/>
          <c:min val="4528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/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11744"/>
        <c:crosses val="autoZero"/>
        <c:crossBetween val="midCat"/>
        <c:majorUnit val="7"/>
        <c:minorUnit val="4"/>
      </c:valAx>
      <c:valAx>
        <c:axId val="10376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05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nemzsír</a:t>
            </a:r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Anthropometrics!$BY$7:$CT$7</c:f>
              <c:numCache>
                <c:formatCode>m/d/yyyy</c:formatCode>
                <c:ptCount val="22"/>
                <c:pt idx="0">
                  <c:v>45291</c:v>
                </c:pt>
                <c:pt idx="1">
                  <c:v>45308</c:v>
                </c:pt>
                <c:pt idx="2">
                  <c:v>45316</c:v>
                </c:pt>
                <c:pt idx="3">
                  <c:v>45323</c:v>
                </c:pt>
                <c:pt idx="4">
                  <c:v>45327</c:v>
                </c:pt>
                <c:pt idx="5">
                  <c:v>45331</c:v>
                </c:pt>
                <c:pt idx="6">
                  <c:v>45336</c:v>
                </c:pt>
                <c:pt idx="7">
                  <c:v>45342</c:v>
                </c:pt>
                <c:pt idx="8">
                  <c:v>45348</c:v>
                </c:pt>
                <c:pt idx="9">
                  <c:v>45369</c:v>
                </c:pt>
                <c:pt idx="10">
                  <c:v>45379</c:v>
                </c:pt>
                <c:pt idx="11">
                  <c:v>45390</c:v>
                </c:pt>
                <c:pt idx="12">
                  <c:v>45408</c:v>
                </c:pt>
                <c:pt idx="13">
                  <c:v>45435</c:v>
                </c:pt>
                <c:pt idx="14">
                  <c:v>45442</c:v>
                </c:pt>
                <c:pt idx="15">
                  <c:v>45451</c:v>
                </c:pt>
                <c:pt idx="16">
                  <c:v>45670</c:v>
                </c:pt>
                <c:pt idx="17">
                  <c:v>45700</c:v>
                </c:pt>
                <c:pt idx="18">
                  <c:v>45820</c:v>
                </c:pt>
                <c:pt idx="19">
                  <c:v>45946</c:v>
                </c:pt>
                <c:pt idx="20">
                  <c:v>46111</c:v>
                </c:pt>
              </c:numCache>
            </c:numRef>
          </c:xVal>
          <c:yVal>
            <c:numRef>
              <c:f>Anthropometrics!$BY$33:$CT$33</c:f>
              <c:numCache>
                <c:formatCode>0.00</c:formatCode>
                <c:ptCount val="22"/>
                <c:pt idx="0">
                  <c:v>61.062404555923678</c:v>
                </c:pt>
                <c:pt idx="1">
                  <c:v>60.038944344879432</c:v>
                </c:pt>
                <c:pt idx="2">
                  <c:v>60.366111994306806</c:v>
                </c:pt>
                <c:pt idx="3">
                  <c:v>60.085586819647411</c:v>
                </c:pt>
                <c:pt idx="4">
                  <c:v>58.966837362344364</c:v>
                </c:pt>
                <c:pt idx="5">
                  <c:v>59.603531559933884</c:v>
                </c:pt>
                <c:pt idx="6">
                  <c:v>59.707405908856288</c:v>
                </c:pt>
                <c:pt idx="7">
                  <c:v>59.050445121716095</c:v>
                </c:pt>
                <c:pt idx="8">
                  <c:v>59.220927190676214</c:v>
                </c:pt>
                <c:pt idx="9">
                  <c:v>58.94860832514513</c:v>
                </c:pt>
                <c:pt idx="10">
                  <c:v>58.972306837228444</c:v>
                </c:pt>
                <c:pt idx="11">
                  <c:v>58.711384638733207</c:v>
                </c:pt>
                <c:pt idx="12">
                  <c:v>59.363533457890398</c:v>
                </c:pt>
                <c:pt idx="13">
                  <c:v>58.538488050004823</c:v>
                </c:pt>
                <c:pt idx="14">
                  <c:v>58.153329614601773</c:v>
                </c:pt>
                <c:pt idx="15">
                  <c:v>59.136235571436799</c:v>
                </c:pt>
                <c:pt idx="16">
                  <c:v>59.059926684251757</c:v>
                </c:pt>
                <c:pt idx="17">
                  <c:v>59.070852099824535</c:v>
                </c:pt>
                <c:pt idx="18">
                  <c:v>58.34581031169273</c:v>
                </c:pt>
                <c:pt idx="19">
                  <c:v>59.106421047095097</c:v>
                </c:pt>
                <c:pt idx="20">
                  <c:v>59.30206519183416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89-4F98-81B6-88208CC6B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105592"/>
        <c:axId val="1037611744"/>
      </c:scatterChart>
      <c:valAx>
        <c:axId val="588105592"/>
        <c:scaling>
          <c:orientation val="minMax"/>
          <c:min val="4528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/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11744"/>
        <c:crosses val="autoZero"/>
        <c:crossBetween val="midCat"/>
        <c:majorUnit val="7"/>
        <c:minorUnit val="4"/>
      </c:valAx>
      <c:valAx>
        <c:axId val="10376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05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98</xdr:col>
      <xdr:colOff>438150</xdr:colOff>
      <xdr:row>0</xdr:row>
      <xdr:rowOff>0</xdr:rowOff>
    </xdr:from>
    <xdr:to>
      <xdr:col>108</xdr:col>
      <xdr:colOff>114300</xdr:colOff>
      <xdr:row>20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BDC3BC7-1167-44F5-9F63-6F459B09D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98</xdr:col>
      <xdr:colOff>438150</xdr:colOff>
      <xdr:row>21</xdr:row>
      <xdr:rowOff>0</xdr:rowOff>
    </xdr:from>
    <xdr:to>
      <xdr:col>108</xdr:col>
      <xdr:colOff>114300</xdr:colOff>
      <xdr:row>33</xdr:row>
      <xdr:rowOff>0</xdr:rowOff>
    </xdr:to>
    <xdr:graphicFrame macro="">
      <xdr:nvGraphicFramePr>
        <xdr:cNvPr id="4" name="Diagramm 4">
          <a:extLst>
            <a:ext uri="{FF2B5EF4-FFF2-40B4-BE49-F238E27FC236}">
              <a16:creationId xmlns:a16="http://schemas.microsoft.com/office/drawing/2014/main" id="{FD44E26A-D02D-4FA9-8F24-BB57D230E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98</xdr:col>
      <xdr:colOff>438150</xdr:colOff>
      <xdr:row>33</xdr:row>
      <xdr:rowOff>0</xdr:rowOff>
    </xdr:from>
    <xdr:to>
      <xdr:col>108</xdr:col>
      <xdr:colOff>114300</xdr:colOff>
      <xdr:row>49</xdr:row>
      <xdr:rowOff>47625</xdr:rowOff>
    </xdr:to>
    <xdr:graphicFrame macro="">
      <xdr:nvGraphicFramePr>
        <xdr:cNvPr id="5" name="Diagramm 5">
          <a:extLst>
            <a:ext uri="{FF2B5EF4-FFF2-40B4-BE49-F238E27FC236}">
              <a16:creationId xmlns:a16="http://schemas.microsoft.com/office/drawing/2014/main" id="{DFBBDE28-BC41-4064-8555-6EFDDDF97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98</xdr:col>
      <xdr:colOff>519112</xdr:colOff>
      <xdr:row>51</xdr:row>
      <xdr:rowOff>42862</xdr:rowOff>
    </xdr:from>
    <xdr:to>
      <xdr:col>106</xdr:col>
      <xdr:colOff>214312</xdr:colOff>
      <xdr:row>68</xdr:row>
      <xdr:rowOff>33337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3FC37A0C-E5DD-4EEE-B23A-12BA31148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98</xdr:col>
      <xdr:colOff>549087</xdr:colOff>
      <xdr:row>68</xdr:row>
      <xdr:rowOff>122518</xdr:rowOff>
    </xdr:from>
    <xdr:to>
      <xdr:col>105</xdr:col>
      <xdr:colOff>623793</xdr:colOff>
      <xdr:row>86</xdr:row>
      <xdr:rowOff>34366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768D2484-BC0E-4C4A-A3AA-EE02198FD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98</xdr:col>
      <xdr:colOff>604837</xdr:colOff>
      <xdr:row>69</xdr:row>
      <xdr:rowOff>23812</xdr:rowOff>
    </xdr:from>
    <xdr:to>
      <xdr:col>106</xdr:col>
      <xdr:colOff>300037</xdr:colOff>
      <xdr:row>86</xdr:row>
      <xdr:rowOff>14287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33058C-7FC8-4352-8A3A-89F7C01AD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99</xdr:col>
      <xdr:colOff>0</xdr:colOff>
      <xdr:row>88</xdr:row>
      <xdr:rowOff>0</xdr:rowOff>
    </xdr:from>
    <xdr:to>
      <xdr:col>106</xdr:col>
      <xdr:colOff>304800</xdr:colOff>
      <xdr:row>104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CDC9D1-570D-434A-9EBB-B5E5D740C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filing_new-MartysPC.xlsx" TargetMode="External"/><Relationship Id="rId2" Type="http://schemas.openxmlformats.org/officeDocument/2006/relationships/externalLinkPath" Target="https://d.docs.live.net/c770e11f011a8c48/DKM/filing_new-MartysPC.xlsx" TargetMode="External"/><Relationship Id="rId1" Type="http://schemas.openxmlformats.org/officeDocument/2006/relationships/externalLinkPath" Target="/c770e11f011a8c48/DKM/filing_new-MartysP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Marci64\AppData\Local\Temp\s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thropometrics"/>
      <sheetName val="Sport"/>
      <sheetName val="Stuff"/>
      <sheetName val="Food rotation"/>
      <sheetName val="Sheet2"/>
      <sheetName val="Kisgépek nagygépek"/>
      <sheetName val="Mérők"/>
      <sheetName val="Mérők_rendes"/>
      <sheetName val="Family balance"/>
      <sheetName val="Állampapír"/>
      <sheetName val="KH - MÁK Értékpapír számlák"/>
      <sheetName val="Tanszabik"/>
      <sheetName val="Reference materials"/>
      <sheetName val="Számlaszámok"/>
      <sheetName val="Sankey"/>
      <sheetName val="Weekly review"/>
      <sheetName val="Kislakás adó"/>
      <sheetName val="Realizált_fizu"/>
      <sheetName val="Vállalkozás adó"/>
      <sheetName val="Számlák2024"/>
      <sheetName val="Plan2025"/>
      <sheetName val="Critical Power"/>
    </sheetNames>
    <sheetDataSet>
      <sheetData sheetId="0">
        <row r="7">
          <cell r="B7">
            <v>41285</v>
          </cell>
          <cell r="C7">
            <v>41318</v>
          </cell>
          <cell r="D7">
            <v>41339</v>
          </cell>
          <cell r="E7">
            <v>41362</v>
          </cell>
          <cell r="F7">
            <v>41377</v>
          </cell>
          <cell r="G7">
            <v>41440</v>
          </cell>
          <cell r="H7">
            <v>41446</v>
          </cell>
          <cell r="I7">
            <v>41452</v>
          </cell>
          <cell r="J7">
            <v>41456</v>
          </cell>
          <cell r="K7">
            <v>41463</v>
          </cell>
          <cell r="L7">
            <v>41470</v>
          </cell>
          <cell r="M7">
            <v>41479</v>
          </cell>
          <cell r="N7">
            <v>41485</v>
          </cell>
          <cell r="O7">
            <v>41518</v>
          </cell>
          <cell r="P7">
            <v>41527</v>
          </cell>
          <cell r="Q7">
            <v>41532</v>
          </cell>
          <cell r="R7">
            <v>41547</v>
          </cell>
          <cell r="S7">
            <v>41550</v>
          </cell>
          <cell r="T7">
            <v>41555</v>
          </cell>
          <cell r="U7">
            <v>41561</v>
          </cell>
          <cell r="V7">
            <v>41569</v>
          </cell>
          <cell r="W7">
            <v>41574</v>
          </cell>
          <cell r="X7">
            <v>41580</v>
          </cell>
          <cell r="Y7">
            <v>41588</v>
          </cell>
          <cell r="Z7">
            <v>41594</v>
          </cell>
          <cell r="AA7">
            <v>41598</v>
          </cell>
          <cell r="AB7">
            <v>41603</v>
          </cell>
          <cell r="AC7">
            <v>41624</v>
          </cell>
          <cell r="AD7">
            <v>41637</v>
          </cell>
          <cell r="AE7">
            <v>41643</v>
          </cell>
          <cell r="AF7">
            <v>41652</v>
          </cell>
          <cell r="AG7">
            <v>41744</v>
          </cell>
          <cell r="AH7">
            <v>41991</v>
          </cell>
          <cell r="AI7">
            <v>42001</v>
          </cell>
          <cell r="AJ7">
            <v>42011</v>
          </cell>
          <cell r="AK7">
            <v>42014</v>
          </cell>
          <cell r="AL7">
            <v>42018</v>
          </cell>
          <cell r="AM7">
            <v>42240</v>
          </cell>
          <cell r="AN7">
            <v>42281</v>
          </cell>
          <cell r="AO7">
            <v>42567</v>
          </cell>
          <cell r="AP7">
            <v>42573</v>
          </cell>
          <cell r="AQ7">
            <v>42612</v>
          </cell>
          <cell r="AR7">
            <v>42638</v>
          </cell>
          <cell r="AS7">
            <v>42649</v>
          </cell>
          <cell r="AT7">
            <v>42655</v>
          </cell>
          <cell r="AU7">
            <v>42659</v>
          </cell>
          <cell r="AV7">
            <v>42663</v>
          </cell>
          <cell r="AW7">
            <v>42665</v>
          </cell>
          <cell r="AX7">
            <v>42667</v>
          </cell>
          <cell r="AY7">
            <v>42670</v>
          </cell>
          <cell r="AZ7">
            <v>42674</v>
          </cell>
          <cell r="BA7">
            <v>42749</v>
          </cell>
          <cell r="BB7">
            <v>42756</v>
          </cell>
          <cell r="BC7">
            <v>42760</v>
          </cell>
          <cell r="BD7">
            <v>42768</v>
          </cell>
          <cell r="BE7">
            <v>42787</v>
          </cell>
          <cell r="BF7">
            <v>42802</v>
          </cell>
          <cell r="BG7">
            <v>42832</v>
          </cell>
          <cell r="BH7">
            <v>42833</v>
          </cell>
          <cell r="BI7">
            <v>42870</v>
          </cell>
          <cell r="BJ7">
            <v>42893</v>
          </cell>
          <cell r="BK7">
            <v>42902</v>
          </cell>
          <cell r="BL7">
            <v>42913</v>
          </cell>
          <cell r="BM7">
            <v>42929</v>
          </cell>
          <cell r="BN7">
            <v>43241</v>
          </cell>
          <cell r="BO7">
            <v>43246</v>
          </cell>
          <cell r="BP7">
            <v>43280</v>
          </cell>
          <cell r="BQ7">
            <v>43299</v>
          </cell>
          <cell r="BR7">
            <v>43306</v>
          </cell>
          <cell r="BS7">
            <v>43315</v>
          </cell>
          <cell r="BT7">
            <v>43322</v>
          </cell>
          <cell r="BU7">
            <v>43338</v>
          </cell>
          <cell r="BV7">
            <v>45019</v>
          </cell>
          <cell r="BW7">
            <v>45105</v>
          </cell>
          <cell r="BX7">
            <v>45153</v>
          </cell>
          <cell r="BY7">
            <v>45291</v>
          </cell>
          <cell r="BZ7">
            <v>45308</v>
          </cell>
          <cell r="CA7">
            <v>45316</v>
          </cell>
          <cell r="CB7">
            <v>45323</v>
          </cell>
          <cell r="CC7">
            <v>45327</v>
          </cell>
          <cell r="CD7">
            <v>45331</v>
          </cell>
          <cell r="CE7">
            <v>45336</v>
          </cell>
          <cell r="CF7">
            <v>45342</v>
          </cell>
          <cell r="CG7">
            <v>45348</v>
          </cell>
          <cell r="CH7">
            <v>45369</v>
          </cell>
          <cell r="CI7">
            <v>45379</v>
          </cell>
          <cell r="CJ7">
            <v>45390</v>
          </cell>
          <cell r="CK7">
            <v>45408</v>
          </cell>
          <cell r="CL7">
            <v>45435</v>
          </cell>
          <cell r="CM7">
            <v>45442</v>
          </cell>
          <cell r="CN7">
            <v>45451</v>
          </cell>
          <cell r="CO7">
            <v>45670</v>
          </cell>
          <cell r="CP7">
            <v>45700</v>
          </cell>
          <cell r="CQ7">
            <v>45820</v>
          </cell>
          <cell r="CR7">
            <v>45946</v>
          </cell>
          <cell r="CS7">
            <v>46111</v>
          </cell>
        </row>
        <row r="28">
          <cell r="B28">
            <v>0.21659999999999999</v>
          </cell>
          <cell r="D28">
            <v>0.19420000000000001</v>
          </cell>
          <cell r="E28">
            <v>0.19040000000000001</v>
          </cell>
          <cell r="G28">
            <v>0.29199999999999998</v>
          </cell>
          <cell r="K28">
            <v>0.22030560184667952</v>
          </cell>
          <cell r="L28">
            <v>0.21305223444822349</v>
          </cell>
          <cell r="M28">
            <v>0.20937204030624929</v>
          </cell>
          <cell r="O28">
            <v>0.21305223444822349</v>
          </cell>
          <cell r="P28">
            <v>0.21305223444822349</v>
          </cell>
          <cell r="Q28">
            <v>0.21305223444822349</v>
          </cell>
          <cell r="R28">
            <v>0.223880142845852</v>
          </cell>
          <cell r="S28">
            <v>0.22742080143002727</v>
          </cell>
          <cell r="T28">
            <v>0.22030560184667952</v>
          </cell>
          <cell r="U28">
            <v>0.20937204030624929</v>
          </cell>
          <cell r="V28">
            <v>0.22030560184667952</v>
          </cell>
          <cell r="W28">
            <v>0.22030560184667952</v>
          </cell>
          <cell r="X28">
            <v>0.21669652368471692</v>
          </cell>
          <cell r="Y28">
            <v>0.21669652368471692</v>
          </cell>
          <cell r="Z28">
            <v>0.22030560184667952</v>
          </cell>
          <cell r="AA28">
            <v>0.22173952561863433</v>
          </cell>
          <cell r="AB28">
            <v>0.23440299881012397</v>
          </cell>
          <cell r="AC28">
            <v>0.223880142845852</v>
          </cell>
          <cell r="AD28">
            <v>0.22742080143002727</v>
          </cell>
          <cell r="AE28">
            <v>0.21669652368471692</v>
          </cell>
          <cell r="AF28">
            <v>0.23092821390284729</v>
          </cell>
          <cell r="AG28">
            <v>0.23784575759452894</v>
          </cell>
          <cell r="AH28">
            <v>0.25328612953143581</v>
          </cell>
          <cell r="AI28">
            <v>0.23784575759452894</v>
          </cell>
          <cell r="AJ28">
            <v>0.24463752077020262</v>
          </cell>
          <cell r="AK28">
            <v>0.24125707522038783</v>
          </cell>
          <cell r="AL28">
            <v>0.2479876480144215</v>
          </cell>
          <cell r="AM28">
            <v>0.26937546774899079</v>
          </cell>
          <cell r="AN28">
            <v>0.26238138508375775</v>
          </cell>
          <cell r="AO28">
            <v>0.22173952561863433</v>
          </cell>
          <cell r="AP28">
            <v>0.21814434210148836</v>
          </cell>
          <cell r="AQ28">
            <v>0.23092821390284729</v>
          </cell>
          <cell r="AR28">
            <v>0.223880142845852</v>
          </cell>
          <cell r="AS28">
            <v>0.24057729944791265</v>
          </cell>
          <cell r="AT28">
            <v>0.23022936115664994</v>
          </cell>
          <cell r="AU28">
            <v>0.21158450492178749</v>
          </cell>
          <cell r="AV28">
            <v>0.20863163038318494</v>
          </cell>
          <cell r="AW28">
            <v>0.20937204030624929</v>
          </cell>
          <cell r="AX28">
            <v>0.21524307171906162</v>
          </cell>
          <cell r="AY28">
            <v>0.20114567475561718</v>
          </cell>
          <cell r="AZ28">
            <v>0.20038876125673416</v>
          </cell>
          <cell r="BA28">
            <v>0.22812492356856001</v>
          </cell>
          <cell r="BB28">
            <v>0.23092821390284729</v>
          </cell>
          <cell r="BC28">
            <v>0.22742080143002727</v>
          </cell>
          <cell r="BD28">
            <v>0.22882772092335973</v>
          </cell>
          <cell r="BE28">
            <v>0.23921402536577252</v>
          </cell>
          <cell r="BF28">
            <v>0.24057729944791265</v>
          </cell>
          <cell r="BG28">
            <v>0.2459811793553128</v>
          </cell>
          <cell r="BH28">
            <v>0.24665120049259986</v>
          </cell>
          <cell r="BI28">
            <v>0.25786143920393972</v>
          </cell>
          <cell r="BJ28">
            <v>0.27063316820951416</v>
          </cell>
          <cell r="BK28">
            <v>0.26684729103277466</v>
          </cell>
          <cell r="BL28">
            <v>0.26621256414447531</v>
          </cell>
          <cell r="BM28">
            <v>0.27126043398896615</v>
          </cell>
          <cell r="BN28">
            <v>0.26109554324987089</v>
          </cell>
          <cell r="BO28">
            <v>0.26109554324987089</v>
          </cell>
          <cell r="BP28">
            <v>0.24193561615880912</v>
          </cell>
          <cell r="BQ28">
            <v>0.24998339639803152</v>
          </cell>
          <cell r="BR28">
            <v>0.24125707522038783</v>
          </cell>
          <cell r="BS28">
            <v>0.23509409370454892</v>
          </cell>
          <cell r="BT28">
            <v>0.23371062292350264</v>
          </cell>
          <cell r="BU28">
            <v>0.23921402536577252</v>
          </cell>
          <cell r="BV28">
            <v>0.30936086494594994</v>
          </cell>
          <cell r="BW28">
            <v>0.2984497171755236</v>
          </cell>
          <cell r="BX28">
            <v>0.30537795320107952</v>
          </cell>
          <cell r="BY28">
            <v>0.30709011823339399</v>
          </cell>
          <cell r="BZ28">
            <v>0.32051204180502241</v>
          </cell>
          <cell r="CA28">
            <v>0.30365790403490867</v>
          </cell>
          <cell r="CB28">
            <v>0.30077343654418248</v>
          </cell>
          <cell r="CC28">
            <v>0.3013521147139604</v>
          </cell>
          <cell r="CD28">
            <v>0.29552459115558938</v>
          </cell>
          <cell r="CE28">
            <v>0.30365790403490867</v>
          </cell>
          <cell r="CF28">
            <v>0.29257637787226842</v>
          </cell>
          <cell r="CG28">
            <v>0.29786652160992977</v>
          </cell>
          <cell r="CH28">
            <v>0.29020093785488787</v>
          </cell>
          <cell r="CI28">
            <v>0.27063316820951416</v>
          </cell>
          <cell r="CJ28">
            <v>0.28840939157224132</v>
          </cell>
          <cell r="CK28">
            <v>0.29020093785488787</v>
          </cell>
          <cell r="CL28">
            <v>0.28237474200490698</v>
          </cell>
          <cell r="CM28">
            <v>0.27993331707914954</v>
          </cell>
          <cell r="CN28">
            <v>0.29020093785488787</v>
          </cell>
          <cell r="CO28">
            <v>0.29961338379851205</v>
          </cell>
          <cell r="CP28">
            <v>0.29493680711001691</v>
          </cell>
          <cell r="CQ28">
            <v>0.29049869529104899</v>
          </cell>
          <cell r="CR28">
            <v>0.28540425320859231</v>
          </cell>
          <cell r="CS28">
            <v>0.28781029491794036</v>
          </cell>
        </row>
        <row r="29">
          <cell r="B29">
            <v>0.18421971545494331</v>
          </cell>
          <cell r="C29">
            <v>0.19779421953029611</v>
          </cell>
          <cell r="D29">
            <v>0.18968274533080545</v>
          </cell>
          <cell r="E29">
            <v>0.17594298183467061</v>
          </cell>
          <cell r="G29">
            <v>0.2189291405600261</v>
          </cell>
          <cell r="H29">
            <v>0.20580495740866239</v>
          </cell>
          <cell r="I29">
            <v>0.18695673910524022</v>
          </cell>
          <cell r="J29">
            <v>0.18695673910524022</v>
          </cell>
          <cell r="K29">
            <v>0.17316233083742474</v>
          </cell>
          <cell r="L29">
            <v>0.1647557816585197</v>
          </cell>
          <cell r="M29">
            <v>0.15053223227520107</v>
          </cell>
          <cell r="N29">
            <v>0.17316233083742474</v>
          </cell>
          <cell r="O29">
            <v>0.16193221550558634</v>
          </cell>
          <cell r="P29">
            <v>0.15053223227520107</v>
          </cell>
          <cell r="Q29">
            <v>0.14187250323524381</v>
          </cell>
          <cell r="R29">
            <v>0.15625327760252788</v>
          </cell>
          <cell r="S29">
            <v>0.15625327760252788</v>
          </cell>
          <cell r="T29">
            <v>0.14765603214112333</v>
          </cell>
          <cell r="U29">
            <v>0.14476944068249453</v>
          </cell>
          <cell r="V29">
            <v>0.14765603214112333</v>
          </cell>
          <cell r="X29">
            <v>0.15625327760252788</v>
          </cell>
          <cell r="Y29">
            <v>0.15053223227520107</v>
          </cell>
          <cell r="Z29">
            <v>0.15625327760252788</v>
          </cell>
          <cell r="AA29">
            <v>0.15339799582378646</v>
          </cell>
          <cell r="AB29">
            <v>0.15625327760252788</v>
          </cell>
          <cell r="AC29">
            <v>0.1590980325052567</v>
          </cell>
          <cell r="AD29">
            <v>0.15738138496409079</v>
          </cell>
          <cell r="AE29">
            <v>0.15165756883889345</v>
          </cell>
          <cell r="AF29">
            <v>0.15165756883889345</v>
          </cell>
          <cell r="AH29">
            <v>0.20009143814252353</v>
          </cell>
          <cell r="AI29">
            <v>0.19739611471250157</v>
          </cell>
          <cell r="AJ29">
            <v>0.20009143814252353</v>
          </cell>
          <cell r="AK29">
            <v>0.19468963264575279</v>
          </cell>
          <cell r="AL29">
            <v>0.18375299760191866</v>
          </cell>
          <cell r="AM29">
            <v>0.210760271027645</v>
          </cell>
          <cell r="AN29">
            <v>0.19604426576707509</v>
          </cell>
          <cell r="AO29">
            <v>0.1481387162347943</v>
          </cell>
          <cell r="AP29">
            <v>0.14086654260083492</v>
          </cell>
          <cell r="AQ29">
            <v>0.14958540492323494</v>
          </cell>
          <cell r="AR29">
            <v>0.15102949833244167</v>
          </cell>
          <cell r="AS29">
            <v>0.15247099078599263</v>
          </cell>
        </row>
        <row r="30">
          <cell r="B30">
            <v>0.22431060239844897</v>
          </cell>
          <cell r="C30">
            <v>0.23402865617719443</v>
          </cell>
          <cell r="D30">
            <v>0.2278534288874465</v>
          </cell>
          <cell r="E30">
            <v>0.21666191465360896</v>
          </cell>
          <cell r="F30">
            <v>0.20404602753376822</v>
          </cell>
          <cell r="G30">
            <v>0.25130005216006057</v>
          </cell>
          <cell r="K30">
            <v>0.21543034233789909</v>
          </cell>
          <cell r="L30">
            <v>0.2082933034870797</v>
          </cell>
          <cell r="M30">
            <v>0.19640416883118689</v>
          </cell>
          <cell r="O30">
            <v>0.20595719192100431</v>
          </cell>
          <cell r="P30">
            <v>0.19602489945106241</v>
          </cell>
          <cell r="Q30">
            <v>0.18889624762476787</v>
          </cell>
          <cell r="R30">
            <v>0.2013489586265598</v>
          </cell>
          <cell r="S30">
            <v>0.20147566175886594</v>
          </cell>
          <cell r="T30">
            <v>0.19396410419632332</v>
          </cell>
          <cell r="U30">
            <v>0.19112497353388108</v>
          </cell>
          <cell r="V30">
            <v>0.19396410419632332</v>
          </cell>
          <cell r="X30">
            <v>0.20109557284847257</v>
          </cell>
          <cell r="Y30">
            <v>0.19627773889770991</v>
          </cell>
          <cell r="Z30">
            <v>0.20122226232327875</v>
          </cell>
          <cell r="AA30">
            <v>0.19874764051319402</v>
          </cell>
          <cell r="AB30">
            <v>0.20160237172075199</v>
          </cell>
          <cell r="AC30">
            <v>0.20372698058850972</v>
          </cell>
          <cell r="AD30">
            <v>0.202376511360672</v>
          </cell>
          <cell r="AE30">
            <v>0.19717659746257424</v>
          </cell>
          <cell r="AF30">
            <v>0.19768255167585722</v>
          </cell>
          <cell r="AH30">
            <v>0.23786223274253984</v>
          </cell>
          <cell r="AI30">
            <v>0.235059561505916</v>
          </cell>
          <cell r="AJ30">
            <v>0.23739904658858449</v>
          </cell>
          <cell r="AK30">
            <v>0.23307566134133595</v>
          </cell>
          <cell r="AL30">
            <v>0.22458013794508302</v>
          </cell>
          <cell r="AM30">
            <v>0.24671717112365057</v>
          </cell>
          <cell r="AN30">
            <v>0.23510786770196831</v>
          </cell>
          <cell r="AO30">
            <v>0.19438202272508931</v>
          </cell>
          <cell r="AP30">
            <v>0.18798974665309173</v>
          </cell>
          <cell r="AQ30">
            <v>0.19597079490039845</v>
          </cell>
          <cell r="AR30">
            <v>0.19687054584557701</v>
          </cell>
          <cell r="AS30">
            <v>0.19871079825855531</v>
          </cell>
          <cell r="AT30">
            <v>0.19589406628391204</v>
          </cell>
          <cell r="AU30">
            <v>0.19400307986798965</v>
          </cell>
          <cell r="AV30">
            <v>0.19387677917715279</v>
          </cell>
          <cell r="AW30">
            <v>0.18889720167317989</v>
          </cell>
          <cell r="AX30">
            <v>0.18535439963224121</v>
          </cell>
          <cell r="AY30">
            <v>0.18483461569487816</v>
          </cell>
          <cell r="AZ30">
            <v>0.18228811317653026</v>
          </cell>
          <cell r="BA30">
            <v>0.20894405408497846</v>
          </cell>
          <cell r="BB30">
            <v>0.21254790165707674</v>
          </cell>
          <cell r="BC30">
            <v>0.21358282481487664</v>
          </cell>
          <cell r="BD30">
            <v>0.21254790165707674</v>
          </cell>
          <cell r="BE30">
            <v>0.21969785474505443</v>
          </cell>
          <cell r="BF30">
            <v>0.21638476063815404</v>
          </cell>
          <cell r="BG30">
            <v>0.22226115554296258</v>
          </cell>
          <cell r="BH30">
            <v>0.22107570204677984</v>
          </cell>
          <cell r="BI30">
            <v>0.23364228085613037</v>
          </cell>
          <cell r="BJ30">
            <v>0.23633609233809239</v>
          </cell>
          <cell r="BK30">
            <v>0.23399399223110379</v>
          </cell>
          <cell r="BL30">
            <v>0.22964635521905791</v>
          </cell>
          <cell r="BM30">
            <v>0.2276243181840249</v>
          </cell>
          <cell r="BN30">
            <v>0.24401513604806438</v>
          </cell>
          <cell r="BO30">
            <v>0.23779128479682868</v>
          </cell>
          <cell r="BP30">
            <v>0.21837767384841186</v>
          </cell>
          <cell r="BQ30">
            <v>0.21387680567515191</v>
          </cell>
          <cell r="BR30">
            <v>0.21374943325733567</v>
          </cell>
          <cell r="BS30">
            <v>0.21695045346842506</v>
          </cell>
          <cell r="BT30">
            <v>0.214098133586553</v>
          </cell>
          <cell r="BU30">
            <v>0.20946047732904957</v>
          </cell>
          <cell r="BV30">
            <v>0.3043432931204853</v>
          </cell>
          <cell r="BW30">
            <v>0.2988603929258255</v>
          </cell>
          <cell r="BX30">
            <v>0.29776503100413493</v>
          </cell>
          <cell r="BY30">
            <v>0.29974306701922387</v>
          </cell>
          <cell r="BZ30">
            <v>0.3002454039058341</v>
          </cell>
          <cell r="CA30">
            <v>0.29230818295068217</v>
          </cell>
          <cell r="CB30">
            <v>0.29060700330994793</v>
          </cell>
          <cell r="CC30">
            <v>0.29211479757089592</v>
          </cell>
          <cell r="CD30">
            <v>0.28703909617303963</v>
          </cell>
          <cell r="CE30">
            <v>0.28919754870409181</v>
          </cell>
          <cell r="CF30">
            <v>0.28854885395522784</v>
          </cell>
          <cell r="CG30">
            <v>0.2873534634094318</v>
          </cell>
          <cell r="CH30">
            <v>0.28373501427527176</v>
          </cell>
          <cell r="CI30">
            <v>0.28170150015556089</v>
          </cell>
          <cell r="CJ30">
            <v>0.2769533911486059</v>
          </cell>
          <cell r="CK30">
            <v>0.27693625508050673</v>
          </cell>
          <cell r="CL30">
            <v>0.27640929480834586</v>
          </cell>
          <cell r="CM30">
            <v>0.27489613946880581</v>
          </cell>
          <cell r="CN30">
            <v>0.27172123680496552</v>
          </cell>
          <cell r="CO30">
            <v>0.27799600630499072</v>
          </cell>
          <cell r="CP30">
            <v>0.27431385626751192</v>
          </cell>
          <cell r="CQ30">
            <v>0.27968135417663292</v>
          </cell>
          <cell r="CR30">
            <v>0.27742761556118467</v>
          </cell>
          <cell r="CS30">
            <v>0.28205732213275836</v>
          </cell>
        </row>
        <row r="31">
          <cell r="D31">
            <v>0.18016356191087241</v>
          </cell>
          <cell r="G31">
            <v>0.22015018651108498</v>
          </cell>
          <cell r="K31">
            <v>0.20819402363477887</v>
          </cell>
          <cell r="L31">
            <v>0.20627980679877869</v>
          </cell>
          <cell r="M31">
            <v>0.20502823806199735</v>
          </cell>
          <cell r="O31">
            <v>0.2054442183957681</v>
          </cell>
          <cell r="P31">
            <v>0.18776943998460732</v>
          </cell>
          <cell r="Q31">
            <v>0.19764225959967413</v>
          </cell>
          <cell r="R31">
            <v>0.20787379082592361</v>
          </cell>
          <cell r="S31">
            <v>0.21234555748134021</v>
          </cell>
          <cell r="T31">
            <v>0.19972803409335504</v>
          </cell>
          <cell r="U31">
            <v>0.18776943998460732</v>
          </cell>
          <cell r="V31">
            <v>0.19656257087612797</v>
          </cell>
          <cell r="W31">
            <v>0.19578228862650329</v>
          </cell>
          <cell r="X31">
            <v>0.19446452719240667</v>
          </cell>
          <cell r="Y31">
            <v>0.18945195347885097</v>
          </cell>
          <cell r="Z31">
            <v>0.19462002720028423</v>
          </cell>
          <cell r="AA31">
            <v>0.19228426653443781</v>
          </cell>
          <cell r="AB31">
            <v>0.21300432876490988</v>
          </cell>
          <cell r="AC31">
            <v>0.20097207694340494</v>
          </cell>
          <cell r="AD31">
            <v>0.19984602838359067</v>
          </cell>
          <cell r="AE31">
            <v>0.18571811378533365</v>
          </cell>
          <cell r="AF31">
            <v>0.20571031038841836</v>
          </cell>
          <cell r="AG31">
            <v>0.21822335532585041</v>
          </cell>
          <cell r="AH31">
            <v>0.24349996835770346</v>
          </cell>
          <cell r="AI31">
            <v>0.21630003008465457</v>
          </cell>
          <cell r="AJ31">
            <v>0.22230821935641884</v>
          </cell>
          <cell r="AK31">
            <v>0.21850360134078012</v>
          </cell>
          <cell r="AL31">
            <v>0.22522622604295847</v>
          </cell>
          <cell r="AM31">
            <v>0.25960823119691745</v>
          </cell>
          <cell r="AN31">
            <v>0.25161832423258207</v>
          </cell>
          <cell r="AO31">
            <v>0.20697130362407115</v>
          </cell>
          <cell r="AP31">
            <v>0.20127662224254686</v>
          </cell>
          <cell r="AQ31">
            <v>0.21305324671241491</v>
          </cell>
          <cell r="AR31">
            <v>0.20737773048182634</v>
          </cell>
          <cell r="AS31">
            <v>0.22230821935641884</v>
          </cell>
        </row>
        <row r="32">
          <cell r="B32">
            <v>15.477431565492978</v>
          </cell>
          <cell r="D32">
            <v>15.949740022121254</v>
          </cell>
          <cell r="F32">
            <v>14.609695571417802</v>
          </cell>
          <cell r="G32">
            <v>18.344903807684421</v>
          </cell>
          <cell r="K32">
            <v>15.274011271757047</v>
          </cell>
          <cell r="L32">
            <v>14.330579279911083</v>
          </cell>
          <cell r="M32">
            <v>13.571528066235013</v>
          </cell>
          <cell r="O32">
            <v>14.211046242549298</v>
          </cell>
          <cell r="P32">
            <v>13.604128021903733</v>
          </cell>
          <cell r="Q32">
            <v>13.147178834683842</v>
          </cell>
          <cell r="R32">
            <v>14.034022416271219</v>
          </cell>
          <cell r="S32">
            <v>14.08314875694473</v>
          </cell>
          <cell r="T32">
            <v>13.655072935421163</v>
          </cell>
          <cell r="U32">
            <v>13.264073163251348</v>
          </cell>
          <cell r="V32">
            <v>13.810244218778221</v>
          </cell>
          <cell r="X32">
            <v>14.157128328532471</v>
          </cell>
          <cell r="Y32">
            <v>14.073113878965801</v>
          </cell>
          <cell r="Z32">
            <v>14.427636208579086</v>
          </cell>
          <cell r="AA32">
            <v>14.210456296693373</v>
          </cell>
          <cell r="AB32">
            <v>14.313768392173392</v>
          </cell>
          <cell r="AC32">
            <v>14.546106414019595</v>
          </cell>
          <cell r="AD32">
            <v>14.773485329329056</v>
          </cell>
          <cell r="AE32">
            <v>14.334738635529147</v>
          </cell>
          <cell r="AF32">
            <v>14.391289762002405</v>
          </cell>
          <cell r="AH32">
            <v>17.363942990205409</v>
          </cell>
          <cell r="AI32">
            <v>17.088830121480093</v>
          </cell>
          <cell r="AJ32">
            <v>17.496309733578677</v>
          </cell>
          <cell r="AK32">
            <v>17.107753542454059</v>
          </cell>
          <cell r="AL32">
            <v>16.394350069991059</v>
          </cell>
          <cell r="AM32">
            <v>18.873863590959267</v>
          </cell>
          <cell r="AN32">
            <v>17.633090077647623</v>
          </cell>
          <cell r="AO32">
            <v>13.840000018026359</v>
          </cell>
          <cell r="AP32">
            <v>13.309674063038894</v>
          </cell>
          <cell r="AQ32">
            <v>14.403853425179287</v>
          </cell>
          <cell r="AR32">
            <v>13.997495809620524</v>
          </cell>
          <cell r="AS32">
            <v>14.644985831655527</v>
          </cell>
          <cell r="AT32">
            <v>14.14355158569845</v>
          </cell>
          <cell r="AU32">
            <v>13.910020826534858</v>
          </cell>
          <cell r="AV32">
            <v>13.668312931989272</v>
          </cell>
          <cell r="AW32">
            <v>13.241693837289908</v>
          </cell>
          <cell r="AX32">
            <v>13.160162373889126</v>
          </cell>
          <cell r="AY32">
            <v>13.234158483753275</v>
          </cell>
          <cell r="AZ32">
            <v>12.814854356310077</v>
          </cell>
          <cell r="BA32">
            <v>15.148443921160938</v>
          </cell>
          <cell r="BB32">
            <v>16.026111784943588</v>
          </cell>
          <cell r="BC32">
            <v>15.826487318782357</v>
          </cell>
          <cell r="BD32">
            <v>16.068621365275</v>
          </cell>
          <cell r="BE32">
            <v>16.587188033251611</v>
          </cell>
          <cell r="BF32">
            <v>16.53179571275497</v>
          </cell>
          <cell r="BG32">
            <v>17.314144016796785</v>
          </cell>
          <cell r="BH32">
            <v>16.691215504531879</v>
          </cell>
          <cell r="BI32">
            <v>18.340919047206235</v>
          </cell>
          <cell r="BJ32">
            <v>19.072322651684058</v>
          </cell>
          <cell r="BK32">
            <v>18.53232418470342</v>
          </cell>
          <cell r="BL32">
            <v>18.348743782002728</v>
          </cell>
          <cell r="BM32">
            <v>18.073370863811579</v>
          </cell>
          <cell r="BN32">
            <v>18.789165475700958</v>
          </cell>
          <cell r="BO32">
            <v>18.072137644558978</v>
          </cell>
          <cell r="BP32">
            <v>15.941570190934065</v>
          </cell>
          <cell r="BQ32">
            <v>15.698557536556152</v>
          </cell>
          <cell r="BR32">
            <v>15.560958741134035</v>
          </cell>
          <cell r="BS32">
            <v>16.01094346596977</v>
          </cell>
          <cell r="BT32">
            <v>15.693393191894334</v>
          </cell>
          <cell r="BU32">
            <v>15.458183226883857</v>
          </cell>
          <cell r="BV32">
            <v>26.173523208361736</v>
          </cell>
          <cell r="BW32">
            <v>25.522677555865499</v>
          </cell>
          <cell r="BX32">
            <v>25.75667518185767</v>
          </cell>
          <cell r="BY32">
            <v>26.137595444076322</v>
          </cell>
          <cell r="BZ32">
            <v>25.761055655120565</v>
          </cell>
          <cell r="CA32">
            <v>24.933888005693188</v>
          </cell>
          <cell r="CB32">
            <v>24.614413180352592</v>
          </cell>
          <cell r="CC32">
            <v>24.333162637655629</v>
          </cell>
          <cell r="CD32">
            <v>23.99646844006611</v>
          </cell>
          <cell r="CE32">
            <v>24.292594091143712</v>
          </cell>
          <cell r="CF32">
            <v>23.949554878283909</v>
          </cell>
          <cell r="CG32">
            <v>23.87907280932378</v>
          </cell>
          <cell r="CH32">
            <v>23.351391674854863</v>
          </cell>
          <cell r="CI32">
            <v>23.127693162771546</v>
          </cell>
          <cell r="CJ32">
            <v>22.488615361266799</v>
          </cell>
          <cell r="CK32">
            <v>22.7364665421096</v>
          </cell>
          <cell r="CL32">
            <v>22.361511949995183</v>
          </cell>
          <cell r="CM32">
            <v>22.046670385398226</v>
          </cell>
          <cell r="CN32">
            <v>22.0637644285632</v>
          </cell>
          <cell r="CO32">
            <v>22.740073315748241</v>
          </cell>
          <cell r="CP32">
            <v>22.329147900175471</v>
          </cell>
          <cell r="CQ32">
            <v>22.654189688307266</v>
          </cell>
          <cell r="CR32">
            <v>22.693578952904904</v>
          </cell>
          <cell r="CS32">
            <v>23.297934808165838</v>
          </cell>
        </row>
        <row r="33">
          <cell r="B33">
            <v>53.522568434507022</v>
          </cell>
          <cell r="D33">
            <v>54.050259977878746</v>
          </cell>
          <cell r="F33">
            <v>56.990304428582192</v>
          </cell>
          <cell r="G33">
            <v>54.655096192315582</v>
          </cell>
          <cell r="K33">
            <v>55.625988728242959</v>
          </cell>
          <cell r="L33">
            <v>54.469420720088912</v>
          </cell>
          <cell r="M33">
            <v>55.528471933764983</v>
          </cell>
          <cell r="O33">
            <v>54.788953757450699</v>
          </cell>
          <cell r="P33">
            <v>55.795871978096272</v>
          </cell>
          <cell r="Q33">
            <v>56.452821165316152</v>
          </cell>
          <cell r="R33">
            <v>55.665977583728782</v>
          </cell>
          <cell r="S33">
            <v>55.816851243055275</v>
          </cell>
          <cell r="T33">
            <v>56.744927064578846</v>
          </cell>
          <cell r="U33">
            <v>56.135926836748659</v>
          </cell>
          <cell r="V33">
            <v>57.38975578122178</v>
          </cell>
          <cell r="X33">
            <v>56.242871671467533</v>
          </cell>
          <cell r="Y33">
            <v>57.626886121034204</v>
          </cell>
          <cell r="Z33">
            <v>57.272363791420915</v>
          </cell>
          <cell r="AA33">
            <v>57.289543703306627</v>
          </cell>
          <cell r="AB33">
            <v>56.686231607826606</v>
          </cell>
          <cell r="AC33">
            <v>56.853893585980408</v>
          </cell>
          <cell r="AD33">
            <v>58.226514670670944</v>
          </cell>
          <cell r="AE33">
            <v>58.365261364470854</v>
          </cell>
          <cell r="AF33">
            <v>58.408710237997596</v>
          </cell>
          <cell r="AH33">
            <v>55.636057009794591</v>
          </cell>
          <cell r="AI33">
            <v>55.61116987851991</v>
          </cell>
          <cell r="AJ33">
            <v>56.203690266421326</v>
          </cell>
          <cell r="AK33">
            <v>56.292246457545943</v>
          </cell>
          <cell r="AL33">
            <v>56.605649930008937</v>
          </cell>
          <cell r="AM33">
            <v>57.626136409040733</v>
          </cell>
          <cell r="AN33">
            <v>57.366909922352377</v>
          </cell>
          <cell r="AO33">
            <v>57.359999981973644</v>
          </cell>
          <cell r="AP33">
            <v>57.490325936961099</v>
          </cell>
          <cell r="AQ33">
            <v>59.096146574820715</v>
          </cell>
          <cell r="AR33">
            <v>57.10250419037947</v>
          </cell>
          <cell r="AS33">
            <v>59.055014168344478</v>
          </cell>
          <cell r="AT33">
            <v>58.056448414301556</v>
          </cell>
          <cell r="AU33">
            <v>57.789979173465142</v>
          </cell>
          <cell r="AV33">
            <v>56.83168706801073</v>
          </cell>
          <cell r="AW33">
            <v>56.858306162710086</v>
          </cell>
          <cell r="AX33">
            <v>57.839837626110878</v>
          </cell>
          <cell r="AY33">
            <v>58.365841516246718</v>
          </cell>
          <cell r="AZ33">
            <v>57.485145643689918</v>
          </cell>
          <cell r="BA33">
            <v>57.35155607883906</v>
          </cell>
          <cell r="BB33">
            <v>59.373888215056418</v>
          </cell>
          <cell r="BC33">
            <v>58.273512681217639</v>
          </cell>
          <cell r="BD33">
            <v>59.531378634724994</v>
          </cell>
          <cell r="BE33">
            <v>58.912811966748393</v>
          </cell>
          <cell r="BF33">
            <v>59.868204287245035</v>
          </cell>
          <cell r="BG33">
            <v>60.585855983203217</v>
          </cell>
          <cell r="BH33">
            <v>58.808784495468117</v>
          </cell>
          <cell r="BI33">
            <v>60.159080952793765</v>
          </cell>
          <cell r="BJ33">
            <v>61.627677348315942</v>
          </cell>
          <cell r="BK33">
            <v>60.667675815296583</v>
          </cell>
          <cell r="BL33">
            <v>61.551256217997278</v>
          </cell>
          <cell r="BM33">
            <v>61.32662913618843</v>
          </cell>
          <cell r="BN33">
            <v>58.210834524299045</v>
          </cell>
          <cell r="BO33">
            <v>57.927862355441022</v>
          </cell>
          <cell r="BP33">
            <v>57.058429809065935</v>
          </cell>
          <cell r="BQ33">
            <v>57.701442463443854</v>
          </cell>
          <cell r="BR33">
            <v>57.23904125886596</v>
          </cell>
          <cell r="BS33">
            <v>57.789056534030223</v>
          </cell>
          <cell r="BT33">
            <v>57.606606808105667</v>
          </cell>
          <cell r="BU33">
            <v>58.341816773116136</v>
          </cell>
          <cell r="BV33">
            <v>59.826476791638264</v>
          </cell>
          <cell r="BW33">
            <v>59.877322444134506</v>
          </cell>
          <cell r="BX33">
            <v>60.743324818142327</v>
          </cell>
          <cell r="BY33">
            <v>61.062404555923678</v>
          </cell>
          <cell r="BZ33">
            <v>60.038944344879432</v>
          </cell>
          <cell r="CA33">
            <v>60.366111994306806</v>
          </cell>
          <cell r="CB33">
            <v>60.085586819647411</v>
          </cell>
          <cell r="CC33">
            <v>58.966837362344364</v>
          </cell>
          <cell r="CD33">
            <v>59.603531559933884</v>
          </cell>
          <cell r="CE33">
            <v>59.707405908856288</v>
          </cell>
          <cell r="CF33">
            <v>59.050445121716095</v>
          </cell>
          <cell r="CG33">
            <v>59.220927190676214</v>
          </cell>
          <cell r="CH33">
            <v>58.94860832514513</v>
          </cell>
          <cell r="CI33">
            <v>58.972306837228444</v>
          </cell>
          <cell r="CJ33">
            <v>58.711384638733207</v>
          </cell>
          <cell r="CK33">
            <v>59.363533457890398</v>
          </cell>
          <cell r="CL33">
            <v>58.538488050004823</v>
          </cell>
          <cell r="CM33">
            <v>58.153329614601773</v>
          </cell>
          <cell r="CN33">
            <v>59.136235571436799</v>
          </cell>
          <cell r="CO33">
            <v>59.059926684251757</v>
          </cell>
          <cell r="CP33">
            <v>59.070852099824535</v>
          </cell>
          <cell r="CQ33">
            <v>58.34581031169273</v>
          </cell>
          <cell r="CR33">
            <v>59.106421047095097</v>
          </cell>
          <cell r="CS33">
            <v>59.30206519183416</v>
          </cell>
        </row>
        <row r="35">
          <cell r="A35" t="str">
            <v>FFMI_std (for 1.8m)</v>
          </cell>
          <cell r="B35">
            <v>19.695495051908669</v>
          </cell>
          <cell r="D35">
            <v>19.882460593069286</v>
          </cell>
          <cell r="F35">
            <v>20.924143008993127</v>
          </cell>
          <cell r="G35">
            <v>20.096759138433811</v>
          </cell>
          <cell r="K35">
            <v>20.440754509723273</v>
          </cell>
          <cell r="L35">
            <v>20.030972760802481</v>
          </cell>
          <cell r="M35">
            <v>20.406203491271608</v>
          </cell>
          <cell r="O35">
            <v>20.14418599682919</v>
          </cell>
          <cell r="P35">
            <v>20.50094557047062</v>
          </cell>
          <cell r="Q35">
            <v>20.733708179321201</v>
          </cell>
          <cell r="R35">
            <v>20.454922896729304</v>
          </cell>
          <cell r="S35">
            <v>20.508378700062103</v>
          </cell>
          <cell r="T35">
            <v>20.837203750205092</v>
          </cell>
          <cell r="U35">
            <v>20.621429859959136</v>
          </cell>
          <cell r="V35">
            <v>21.065671974639237</v>
          </cell>
          <cell r="X35">
            <v>20.65932131216962</v>
          </cell>
          <cell r="Y35">
            <v>21.14968924356371</v>
          </cell>
          <cell r="Z35">
            <v>21.024079007731334</v>
          </cell>
          <cell r="AA35">
            <v>21.030165994652293</v>
          </cell>
          <cell r="AB35">
            <v>20.816407457421562</v>
          </cell>
          <cell r="AC35">
            <v>20.875811502969253</v>
          </cell>
          <cell r="AD35">
            <v>21.362142669597134</v>
          </cell>
          <cell r="AE35">
            <v>21.411301787298349</v>
          </cell>
          <cell r="AF35">
            <v>21.426696087725908</v>
          </cell>
          <cell r="AH35">
            <v>20.444321786350127</v>
          </cell>
          <cell r="AI35">
            <v>20.435504066935913</v>
          </cell>
          <cell r="AJ35">
            <v>20.645439011628874</v>
          </cell>
          <cell r="AK35">
            <v>20.676815213132777</v>
          </cell>
          <cell r="AL35">
            <v>20.787856692888656</v>
          </cell>
          <cell r="AM35">
            <v>21.149423614314323</v>
          </cell>
          <cell r="AN35">
            <v>21.057577495164534</v>
          </cell>
          <cell r="AO35">
            <v>21.055129245313793</v>
          </cell>
          <cell r="AP35">
            <v>21.101304824603567</v>
          </cell>
          <cell r="AQ35">
            <v>21.670260549468793</v>
          </cell>
          <cell r="AR35">
            <v>20.963896325956448</v>
          </cell>
          <cell r="AS35">
            <v>21.65568699275244</v>
          </cell>
          <cell r="AT35">
            <v>21.301886768105714</v>
          </cell>
          <cell r="AU35">
            <v>21.207474480394399</v>
          </cell>
          <cell r="AV35">
            <v>20.867943547339404</v>
          </cell>
          <cell r="AW35">
            <v>20.877374915926193</v>
          </cell>
          <cell r="AX35">
            <v>21.225139748480331</v>
          </cell>
          <cell r="AY35">
            <v>21.411507339940023</v>
          </cell>
          <cell r="AZ35">
            <v>21.09946940323481</v>
          </cell>
          <cell r="BA35">
            <v>21.052137499588671</v>
          </cell>
          <cell r="BB35">
            <v>21.768666742862962</v>
          </cell>
          <cell r="BC35">
            <v>21.378794459048201</v>
          </cell>
          <cell r="BD35">
            <v>21.824466919899731</v>
          </cell>
          <cell r="BE35">
            <v>21.60530355964725</v>
          </cell>
          <cell r="BF35">
            <v>21.943807074562443</v>
          </cell>
          <cell r="BG35">
            <v>22.198077091554431</v>
          </cell>
          <cell r="BH35">
            <v>21.568445753779805</v>
          </cell>
          <cell r="BI35">
            <v>22.046867117628178</v>
          </cell>
          <cell r="BJ35">
            <v>22.567203142118746</v>
          </cell>
          <cell r="BK35">
            <v>22.227066544535358</v>
          </cell>
          <cell r="BL35">
            <v>22.540126494471828</v>
          </cell>
          <cell r="BM35">
            <v>22.460539234760642</v>
          </cell>
          <cell r="BN35">
            <v>21.356587062180786</v>
          </cell>
          <cell r="BO35">
            <v>21.256327648611475</v>
          </cell>
          <cell r="BP35">
            <v>20.948280402872005</v>
          </cell>
          <cell r="BQ35">
            <v>21.17610518120885</v>
          </cell>
          <cell r="BR35">
            <v>21.012272554870311</v>
          </cell>
          <cell r="BS35">
            <v>21.207147581501641</v>
          </cell>
          <cell r="BT35">
            <v>21.142504112849231</v>
          </cell>
          <cell r="BU35">
            <v>21.402995171880718</v>
          </cell>
          <cell r="BV35">
            <v>21.92902267277433</v>
          </cell>
          <cell r="BW35">
            <v>21.947037714049927</v>
          </cell>
          <cell r="BX35">
            <v>22.253869620940453</v>
          </cell>
          <cell r="BY35">
            <v>22.36692224912262</v>
          </cell>
          <cell r="BZ35">
            <v>22.004301709495266</v>
          </cell>
          <cell r="CA35">
            <v>22.120219952631381</v>
          </cell>
          <cell r="CB35">
            <v>22.020827529636982</v>
          </cell>
          <cell r="CC35">
            <v>21.624445210581197</v>
          </cell>
          <cell r="CD35">
            <v>21.850031306665919</v>
          </cell>
          <cell r="CE35">
            <v>21.886834859997268</v>
          </cell>
          <cell r="CF35">
            <v>21.654068141197598</v>
          </cell>
          <cell r="CG35">
            <v>21.714471368578593</v>
          </cell>
          <cell r="CH35">
            <v>21.617986509759472</v>
          </cell>
          <cell r="CI35">
            <v>21.626383091421644</v>
          </cell>
          <cell r="CJ35">
            <v>21.533936167351619</v>
          </cell>
          <cell r="CK35">
            <v>21.764997965522394</v>
          </cell>
          <cell r="CL35">
            <v>21.472677455358856</v>
          </cell>
          <cell r="CM35">
            <v>21.336212590207548</v>
          </cell>
          <cell r="CN35">
            <v>21.684464417317461</v>
          </cell>
          <cell r="CO35">
            <v>21.657427538354508</v>
          </cell>
          <cell r="CP35">
            <v>21.661298504756427</v>
          </cell>
          <cell r="CQ35">
            <v>21.404410116104287</v>
          </cell>
          <cell r="CR35">
            <v>21.673900881198662</v>
          </cell>
        </row>
        <row r="58">
          <cell r="B58">
            <v>41440</v>
          </cell>
          <cell r="C58">
            <v>41447</v>
          </cell>
          <cell r="D58">
            <v>41452</v>
          </cell>
          <cell r="E58">
            <v>41518</v>
          </cell>
          <cell r="F58">
            <v>41531</v>
          </cell>
          <cell r="G58">
            <v>41574</v>
          </cell>
          <cell r="H58">
            <v>41606</v>
          </cell>
        </row>
        <row r="80">
          <cell r="B80">
            <v>0.22040000000000001</v>
          </cell>
          <cell r="C80">
            <v>0.2036</v>
          </cell>
          <cell r="D80">
            <v>0.17580000000000001</v>
          </cell>
          <cell r="E80">
            <v>0.18340000000000001</v>
          </cell>
          <cell r="F80">
            <v>0.18690000000000001</v>
          </cell>
          <cell r="G80">
            <v>0.18690000000000001</v>
          </cell>
          <cell r="H80">
            <v>0.18690000000000001</v>
          </cell>
        </row>
        <row r="81">
          <cell r="B81">
            <v>0.21690000000000001</v>
          </cell>
          <cell r="C81">
            <v>0.20039999999999999</v>
          </cell>
          <cell r="D81">
            <v>0.18590000000000001</v>
          </cell>
          <cell r="E81">
            <v>0.18129999999999999</v>
          </cell>
          <cell r="F81">
            <v>0.18859999999999999</v>
          </cell>
          <cell r="G81">
            <v>0.19359999999999999</v>
          </cell>
          <cell r="H81">
            <v>0.18859999999999999</v>
          </cell>
        </row>
        <row r="83">
          <cell r="B83">
            <v>12.562800000000001</v>
          </cell>
          <cell r="D83">
            <v>10.003020000000001</v>
          </cell>
          <cell r="E83">
            <v>10.710560000000001</v>
          </cell>
          <cell r="F83">
            <v>11.027100000000001</v>
          </cell>
          <cell r="G83">
            <v>10.896269999999999</v>
          </cell>
          <cell r="H83">
            <v>10.840200000000001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R"/>
      <sheetName val="Nov-Dec"/>
      <sheetName val="Január"/>
      <sheetName val="Máj-Jul"/>
      <sheetName val="Aug-Szept"/>
      <sheetName val="2011"/>
      <sheetName val="2011.05"/>
    </sheetNames>
    <sheetDataSet>
      <sheetData sheetId="0">
        <row r="1">
          <cell r="B1">
            <v>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6705-6C0C-46AE-8146-03986FD5BA91}">
  <dimension ref="A1:DG91"/>
  <sheetViews>
    <sheetView tabSelected="1" zoomScale="85" zoomScaleNormal="85" workbookViewId="0">
      <pane xSplit="1" topLeftCell="B1" activePane="topRight" state="frozen"/>
      <selection activeCell="A4" sqref="A4"/>
      <selection pane="topRight" activeCell="A45" sqref="A45"/>
    </sheetView>
  </sheetViews>
  <sheetFormatPr defaultColWidth="10.90625" defaultRowHeight="14.5" x14ac:dyDescent="0.35"/>
  <cols>
    <col min="1" max="1" width="48.453125" style="2" customWidth="1"/>
    <col min="2" max="96" width="10.08984375" style="2" customWidth="1"/>
    <col min="97" max="97" width="10.90625" style="2" customWidth="1"/>
    <col min="98" max="98" width="10.08984375" style="2" customWidth="1"/>
    <col min="99" max="109" width="10.90625" style="2"/>
    <col min="110" max="110" width="24.453125" style="2" customWidth="1"/>
    <col min="111" max="111" width="23.54296875" style="2" customWidth="1"/>
    <col min="112" max="16384" width="10.90625" style="2"/>
  </cols>
  <sheetData>
    <row r="1" spans="1:111" x14ac:dyDescent="0.35">
      <c r="A1" s="1" t="s">
        <v>0</v>
      </c>
      <c r="C1" s="1" t="s">
        <v>1</v>
      </c>
    </row>
    <row r="2" spans="1:111" x14ac:dyDescent="0.35">
      <c r="A2" s="1" t="s">
        <v>2</v>
      </c>
      <c r="C2" s="3">
        <v>33231</v>
      </c>
      <c r="D2" s="4" t="s">
        <v>3</v>
      </c>
    </row>
    <row r="3" spans="1:111" x14ac:dyDescent="0.35">
      <c r="A3" s="1" t="s">
        <v>4</v>
      </c>
      <c r="C3" s="1">
        <v>1</v>
      </c>
      <c r="D3" s="4" t="s">
        <v>5</v>
      </c>
    </row>
    <row r="4" spans="1:111" x14ac:dyDescent="0.35">
      <c r="A4" s="1" t="s">
        <v>6</v>
      </c>
      <c r="C4" s="1">
        <v>168</v>
      </c>
      <c r="D4" s="4" t="s">
        <v>7</v>
      </c>
    </row>
    <row r="5" spans="1:111" x14ac:dyDescent="0.35">
      <c r="A5" s="1" t="s">
        <v>8</v>
      </c>
    </row>
    <row r="7" spans="1:111" x14ac:dyDescent="0.35">
      <c r="A7" s="1" t="s">
        <v>9</v>
      </c>
      <c r="B7" s="3">
        <v>41285</v>
      </c>
      <c r="C7" s="3">
        <v>41318</v>
      </c>
      <c r="D7" s="3">
        <v>41339</v>
      </c>
      <c r="E7" s="3">
        <v>41362</v>
      </c>
      <c r="F7" s="3">
        <v>41377</v>
      </c>
      <c r="G7" s="3">
        <v>41440</v>
      </c>
      <c r="H7" s="3">
        <v>41446</v>
      </c>
      <c r="I7" s="3">
        <v>41452</v>
      </c>
      <c r="J7" s="3">
        <v>41456</v>
      </c>
      <c r="K7" s="3">
        <v>41463</v>
      </c>
      <c r="L7" s="3">
        <v>41470</v>
      </c>
      <c r="M7" s="3">
        <v>41479</v>
      </c>
      <c r="N7" s="3">
        <v>41485</v>
      </c>
      <c r="O7" s="3">
        <v>41518</v>
      </c>
      <c r="P7" s="3">
        <v>41527</v>
      </c>
      <c r="Q7" s="3">
        <v>41532</v>
      </c>
      <c r="R7" s="3">
        <v>41547</v>
      </c>
      <c r="S7" s="3">
        <v>41550</v>
      </c>
      <c r="T7" s="3">
        <v>41555</v>
      </c>
      <c r="U7" s="3">
        <v>41561</v>
      </c>
      <c r="V7" s="3">
        <v>41569</v>
      </c>
      <c r="W7" s="3">
        <v>41574</v>
      </c>
      <c r="X7" s="3">
        <v>41580</v>
      </c>
      <c r="Y7" s="3">
        <v>41588</v>
      </c>
      <c r="Z7" s="3">
        <v>41594</v>
      </c>
      <c r="AA7" s="3">
        <v>41598</v>
      </c>
      <c r="AB7" s="3">
        <v>41603</v>
      </c>
      <c r="AC7" s="3">
        <v>41624</v>
      </c>
      <c r="AD7" s="3">
        <v>41637</v>
      </c>
      <c r="AE7" s="3">
        <v>41643</v>
      </c>
      <c r="AF7" s="3">
        <v>41652</v>
      </c>
      <c r="AG7" s="3">
        <v>41744</v>
      </c>
      <c r="AH7" s="3">
        <v>41991</v>
      </c>
      <c r="AI7" s="3">
        <v>42001</v>
      </c>
      <c r="AJ7" s="3">
        <v>42011</v>
      </c>
      <c r="AK7" s="3">
        <v>42014</v>
      </c>
      <c r="AL7" s="3">
        <v>42018</v>
      </c>
      <c r="AM7" s="3">
        <v>42240</v>
      </c>
      <c r="AN7" s="3">
        <v>42281</v>
      </c>
      <c r="AO7" s="3">
        <v>42567</v>
      </c>
      <c r="AP7" s="3">
        <v>42573</v>
      </c>
      <c r="AQ7" s="3">
        <v>42612</v>
      </c>
      <c r="AR7" s="3">
        <v>42638</v>
      </c>
      <c r="AS7" s="5">
        <v>42649</v>
      </c>
      <c r="AT7" s="3">
        <v>42655</v>
      </c>
      <c r="AU7" s="3">
        <v>42659</v>
      </c>
      <c r="AV7" s="3">
        <v>42663</v>
      </c>
      <c r="AW7" s="3">
        <v>42665</v>
      </c>
      <c r="AX7" s="3">
        <v>42667</v>
      </c>
      <c r="AY7" s="3">
        <v>42670</v>
      </c>
      <c r="AZ7" s="3">
        <v>42674</v>
      </c>
      <c r="BA7" s="3">
        <v>42749</v>
      </c>
      <c r="BB7" s="3">
        <v>42756</v>
      </c>
      <c r="BC7" s="3">
        <v>42760</v>
      </c>
      <c r="BD7" s="3">
        <v>42768</v>
      </c>
      <c r="BE7" s="3">
        <v>42787</v>
      </c>
      <c r="BF7" s="3">
        <v>42802</v>
      </c>
      <c r="BG7" s="3">
        <v>42832</v>
      </c>
      <c r="BH7" s="3">
        <v>42833</v>
      </c>
      <c r="BI7" s="3">
        <v>42870</v>
      </c>
      <c r="BJ7" s="3">
        <v>42893</v>
      </c>
      <c r="BK7" s="3">
        <v>42902</v>
      </c>
      <c r="BL7" s="3">
        <v>42913</v>
      </c>
      <c r="BM7" s="3">
        <v>42929</v>
      </c>
      <c r="BN7" s="3">
        <v>43241</v>
      </c>
      <c r="BO7" s="3">
        <v>43246</v>
      </c>
      <c r="BP7" s="3">
        <v>43280</v>
      </c>
      <c r="BQ7" s="3">
        <v>43299</v>
      </c>
      <c r="BR7" s="3">
        <v>43306</v>
      </c>
      <c r="BS7" s="3">
        <v>43315</v>
      </c>
      <c r="BT7" s="3">
        <v>43322</v>
      </c>
      <c r="BU7" s="3">
        <v>43338</v>
      </c>
      <c r="BV7" s="3">
        <v>45019</v>
      </c>
      <c r="BW7" s="3">
        <v>45105</v>
      </c>
      <c r="BX7" s="3">
        <v>45153</v>
      </c>
      <c r="BY7" s="3">
        <v>45291</v>
      </c>
      <c r="BZ7" s="3">
        <v>45308</v>
      </c>
      <c r="CA7" s="3">
        <v>45316</v>
      </c>
      <c r="CB7" s="3">
        <v>45323</v>
      </c>
      <c r="CC7" s="3">
        <v>45327</v>
      </c>
      <c r="CD7" s="3">
        <v>45331</v>
      </c>
      <c r="CE7" s="3">
        <v>45336</v>
      </c>
      <c r="CF7" s="3">
        <v>45342</v>
      </c>
      <c r="CG7" s="3">
        <v>45348</v>
      </c>
      <c r="CH7" s="3">
        <v>45369</v>
      </c>
      <c r="CI7" s="3">
        <v>45379</v>
      </c>
      <c r="CJ7" s="3">
        <v>45390</v>
      </c>
      <c r="CK7" s="3">
        <v>45408</v>
      </c>
      <c r="CL7" s="3">
        <v>45435</v>
      </c>
      <c r="CM7" s="3">
        <v>45442</v>
      </c>
      <c r="CN7" s="3">
        <v>45451</v>
      </c>
      <c r="CO7" s="3">
        <v>45670</v>
      </c>
      <c r="CP7" s="3">
        <v>45700</v>
      </c>
      <c r="CQ7" s="3">
        <v>45820</v>
      </c>
      <c r="CR7" s="3">
        <v>45946</v>
      </c>
      <c r="CS7" s="3">
        <v>46111</v>
      </c>
      <c r="CT7" s="3"/>
      <c r="DF7" s="1" t="s">
        <v>10</v>
      </c>
      <c r="DG7" s="1" t="s">
        <v>11</v>
      </c>
    </row>
    <row r="8" spans="1:111" x14ac:dyDescent="0.35">
      <c r="A8" s="1" t="s">
        <v>12</v>
      </c>
      <c r="B8" s="6">
        <f t="shared" ref="B8:BM8" si="0">ROUNDDOWN((B7-$C$2)/365,0)</f>
        <v>22</v>
      </c>
      <c r="C8" s="6">
        <f t="shared" si="0"/>
        <v>22</v>
      </c>
      <c r="D8" s="6">
        <f t="shared" si="0"/>
        <v>22</v>
      </c>
      <c r="E8" s="6">
        <f t="shared" si="0"/>
        <v>22</v>
      </c>
      <c r="F8" s="6">
        <f t="shared" si="0"/>
        <v>22</v>
      </c>
      <c r="G8" s="6">
        <f t="shared" si="0"/>
        <v>22</v>
      </c>
      <c r="H8" s="6">
        <f t="shared" si="0"/>
        <v>22</v>
      </c>
      <c r="I8" s="6">
        <f t="shared" si="0"/>
        <v>22</v>
      </c>
      <c r="J8" s="6">
        <f t="shared" si="0"/>
        <v>22</v>
      </c>
      <c r="K8" s="6">
        <f t="shared" si="0"/>
        <v>22</v>
      </c>
      <c r="L8" s="6">
        <f t="shared" si="0"/>
        <v>22</v>
      </c>
      <c r="M8" s="6">
        <f t="shared" si="0"/>
        <v>22</v>
      </c>
      <c r="N8" s="6">
        <f t="shared" si="0"/>
        <v>22</v>
      </c>
      <c r="O8" s="6">
        <f t="shared" si="0"/>
        <v>22</v>
      </c>
      <c r="P8" s="6">
        <f t="shared" si="0"/>
        <v>22</v>
      </c>
      <c r="Q8" s="6">
        <f t="shared" si="0"/>
        <v>22</v>
      </c>
      <c r="R8" s="6">
        <f t="shared" si="0"/>
        <v>22</v>
      </c>
      <c r="S8" s="6">
        <f t="shared" si="0"/>
        <v>22</v>
      </c>
      <c r="T8" s="6">
        <f t="shared" si="0"/>
        <v>22</v>
      </c>
      <c r="U8" s="6">
        <f t="shared" si="0"/>
        <v>22</v>
      </c>
      <c r="V8" s="6">
        <f t="shared" si="0"/>
        <v>22</v>
      </c>
      <c r="W8" s="6">
        <f t="shared" si="0"/>
        <v>22</v>
      </c>
      <c r="X8" s="6">
        <f t="shared" si="0"/>
        <v>22</v>
      </c>
      <c r="Y8" s="6">
        <f t="shared" si="0"/>
        <v>22</v>
      </c>
      <c r="Z8" s="6">
        <f t="shared" si="0"/>
        <v>22</v>
      </c>
      <c r="AA8" s="6">
        <f t="shared" si="0"/>
        <v>22</v>
      </c>
      <c r="AB8" s="6">
        <f t="shared" si="0"/>
        <v>22</v>
      </c>
      <c r="AC8" s="6">
        <f t="shared" si="0"/>
        <v>22</v>
      </c>
      <c r="AD8" s="6">
        <f t="shared" si="0"/>
        <v>23</v>
      </c>
      <c r="AE8" s="6">
        <f t="shared" si="0"/>
        <v>23</v>
      </c>
      <c r="AF8" s="6">
        <f t="shared" si="0"/>
        <v>23</v>
      </c>
      <c r="AG8" s="6">
        <f t="shared" si="0"/>
        <v>23</v>
      </c>
      <c r="AH8" s="6">
        <f t="shared" si="0"/>
        <v>24</v>
      </c>
      <c r="AI8" s="6">
        <f t="shared" si="0"/>
        <v>24</v>
      </c>
      <c r="AJ8" s="6">
        <f t="shared" si="0"/>
        <v>24</v>
      </c>
      <c r="AK8" s="6">
        <f t="shared" si="0"/>
        <v>24</v>
      </c>
      <c r="AL8" s="6">
        <f t="shared" si="0"/>
        <v>24</v>
      </c>
      <c r="AM8" s="6">
        <f t="shared" si="0"/>
        <v>24</v>
      </c>
      <c r="AN8" s="6">
        <f t="shared" si="0"/>
        <v>24</v>
      </c>
      <c r="AO8" s="6">
        <f t="shared" si="0"/>
        <v>25</v>
      </c>
      <c r="AP8" s="6">
        <f t="shared" si="0"/>
        <v>25</v>
      </c>
      <c r="AQ8" s="6">
        <f t="shared" si="0"/>
        <v>25</v>
      </c>
      <c r="AR8" s="6">
        <f t="shared" si="0"/>
        <v>25</v>
      </c>
      <c r="AS8" s="6">
        <f t="shared" si="0"/>
        <v>25</v>
      </c>
      <c r="AT8" s="6">
        <f t="shared" si="0"/>
        <v>25</v>
      </c>
      <c r="AU8" s="6">
        <f t="shared" si="0"/>
        <v>25</v>
      </c>
      <c r="AV8" s="6">
        <f t="shared" si="0"/>
        <v>25</v>
      </c>
      <c r="AW8" s="6">
        <f t="shared" si="0"/>
        <v>25</v>
      </c>
      <c r="AX8" s="6">
        <f t="shared" si="0"/>
        <v>25</v>
      </c>
      <c r="AY8" s="6">
        <f t="shared" si="0"/>
        <v>25</v>
      </c>
      <c r="AZ8" s="6">
        <f t="shared" si="0"/>
        <v>25</v>
      </c>
      <c r="BA8" s="6">
        <f t="shared" si="0"/>
        <v>26</v>
      </c>
      <c r="BB8" s="6">
        <f t="shared" si="0"/>
        <v>26</v>
      </c>
      <c r="BC8" s="6">
        <f t="shared" si="0"/>
        <v>26</v>
      </c>
      <c r="BD8" s="6">
        <f t="shared" si="0"/>
        <v>26</v>
      </c>
      <c r="BE8" s="6">
        <f t="shared" si="0"/>
        <v>26</v>
      </c>
      <c r="BF8" s="6">
        <f t="shared" si="0"/>
        <v>26</v>
      </c>
      <c r="BG8" s="6">
        <f t="shared" si="0"/>
        <v>26</v>
      </c>
      <c r="BH8" s="6">
        <f t="shared" si="0"/>
        <v>26</v>
      </c>
      <c r="BI8" s="6">
        <f t="shared" si="0"/>
        <v>26</v>
      </c>
      <c r="BJ8" s="6">
        <f t="shared" si="0"/>
        <v>26</v>
      </c>
      <c r="BK8" s="6">
        <f t="shared" si="0"/>
        <v>26</v>
      </c>
      <c r="BL8" s="6">
        <f t="shared" si="0"/>
        <v>26</v>
      </c>
      <c r="BM8" s="6">
        <f t="shared" si="0"/>
        <v>26</v>
      </c>
      <c r="BN8" s="6">
        <f t="shared" ref="BN8:BS8" si="1">ROUNDDOWN((BN7-$C$2)/365,0)</f>
        <v>27</v>
      </c>
      <c r="BO8" s="6">
        <f t="shared" si="1"/>
        <v>27</v>
      </c>
      <c r="BP8" s="6">
        <f t="shared" si="1"/>
        <v>27</v>
      </c>
      <c r="BQ8" s="6">
        <f t="shared" si="1"/>
        <v>27</v>
      </c>
      <c r="BR8" s="6">
        <f t="shared" si="1"/>
        <v>27</v>
      </c>
      <c r="BS8" s="6">
        <f t="shared" si="1"/>
        <v>27</v>
      </c>
      <c r="BT8" s="7">
        <f t="shared" ref="BT8:CS8" si="2">ROUNDDOWN((BT7-$C$2)/365,1)</f>
        <v>27.6</v>
      </c>
      <c r="BU8" s="7">
        <f t="shared" si="2"/>
        <v>27.6</v>
      </c>
      <c r="BV8" s="7">
        <f t="shared" si="2"/>
        <v>32.200000000000003</v>
      </c>
      <c r="BW8" s="7">
        <f t="shared" si="2"/>
        <v>32.5</v>
      </c>
      <c r="BX8" s="7">
        <f t="shared" si="2"/>
        <v>32.6</v>
      </c>
      <c r="BY8" s="7">
        <f t="shared" si="2"/>
        <v>33</v>
      </c>
      <c r="BZ8" s="7">
        <f t="shared" si="2"/>
        <v>33</v>
      </c>
      <c r="CA8" s="7">
        <f t="shared" si="2"/>
        <v>33.1</v>
      </c>
      <c r="CB8" s="7">
        <f t="shared" si="2"/>
        <v>33.1</v>
      </c>
      <c r="CC8" s="7">
        <f t="shared" si="2"/>
        <v>33.1</v>
      </c>
      <c r="CD8" s="7">
        <f t="shared" si="2"/>
        <v>33.1</v>
      </c>
      <c r="CE8" s="7">
        <f t="shared" si="2"/>
        <v>33.1</v>
      </c>
      <c r="CF8" s="7">
        <f t="shared" si="2"/>
        <v>33.1</v>
      </c>
      <c r="CG8" s="7">
        <f t="shared" si="2"/>
        <v>33.1</v>
      </c>
      <c r="CH8" s="7">
        <f t="shared" si="2"/>
        <v>33.200000000000003</v>
      </c>
      <c r="CI8" s="7">
        <f t="shared" si="2"/>
        <v>33.200000000000003</v>
      </c>
      <c r="CJ8" s="7">
        <f t="shared" si="2"/>
        <v>33.299999999999997</v>
      </c>
      <c r="CK8" s="7">
        <f t="shared" si="2"/>
        <v>33.299999999999997</v>
      </c>
      <c r="CL8" s="7">
        <f t="shared" si="2"/>
        <v>33.4</v>
      </c>
      <c r="CM8" s="7">
        <f t="shared" si="2"/>
        <v>33.4</v>
      </c>
      <c r="CN8" s="7">
        <f t="shared" si="2"/>
        <v>33.4</v>
      </c>
      <c r="CO8" s="7">
        <f t="shared" si="2"/>
        <v>34</v>
      </c>
      <c r="CP8" s="7">
        <f t="shared" si="2"/>
        <v>34.1</v>
      </c>
      <c r="CQ8" s="7">
        <f t="shared" si="2"/>
        <v>34.4</v>
      </c>
      <c r="CR8" s="7">
        <f t="shared" si="2"/>
        <v>34.799999999999997</v>
      </c>
      <c r="CS8" s="7">
        <f t="shared" si="2"/>
        <v>35.200000000000003</v>
      </c>
      <c r="CT8" s="7"/>
      <c r="DF8" s="1" t="s">
        <v>13</v>
      </c>
      <c r="DG8" s="1">
        <v>0.25</v>
      </c>
    </row>
    <row r="9" spans="1:111" x14ac:dyDescent="0.35">
      <c r="A9" s="1" t="s">
        <v>14</v>
      </c>
      <c r="B9" s="1">
        <v>69</v>
      </c>
      <c r="D9" s="1">
        <v>70</v>
      </c>
      <c r="F9" s="1">
        <v>71.599999999999994</v>
      </c>
      <c r="G9" s="1">
        <v>73</v>
      </c>
      <c r="H9" s="1">
        <v>72.2</v>
      </c>
      <c r="I9" s="1">
        <v>71.3</v>
      </c>
      <c r="J9" s="1">
        <v>71.900000000000006</v>
      </c>
      <c r="K9" s="1">
        <v>70.900000000000006</v>
      </c>
      <c r="L9" s="1">
        <v>68.8</v>
      </c>
      <c r="M9" s="1">
        <v>69.099999999999994</v>
      </c>
      <c r="N9" s="1">
        <v>70</v>
      </c>
      <c r="O9" s="1">
        <v>69</v>
      </c>
      <c r="P9" s="1">
        <v>69.400000000000006</v>
      </c>
      <c r="Q9" s="1">
        <v>69.599999999999994</v>
      </c>
      <c r="R9" s="1">
        <v>69.7</v>
      </c>
      <c r="S9" s="1">
        <v>69.900000000000006</v>
      </c>
      <c r="T9" s="1">
        <v>70.400000000000006</v>
      </c>
      <c r="U9" s="1">
        <v>69.400000000000006</v>
      </c>
      <c r="V9" s="1">
        <v>71.2</v>
      </c>
      <c r="W9" s="1">
        <v>71.400000000000006</v>
      </c>
      <c r="X9" s="1">
        <v>70.400000000000006</v>
      </c>
      <c r="Y9" s="1">
        <v>71.7</v>
      </c>
      <c r="Z9" s="1">
        <v>71.7</v>
      </c>
      <c r="AA9" s="1">
        <v>71.5</v>
      </c>
      <c r="AB9" s="1">
        <v>71</v>
      </c>
      <c r="AC9" s="1">
        <v>71.400000000000006</v>
      </c>
      <c r="AD9" s="1">
        <v>73</v>
      </c>
      <c r="AE9" s="1">
        <v>72.7</v>
      </c>
      <c r="AF9" s="1">
        <v>72.8</v>
      </c>
      <c r="AG9" s="1">
        <v>71</v>
      </c>
      <c r="AH9" s="1">
        <v>73</v>
      </c>
      <c r="AI9" s="1">
        <v>72.7</v>
      </c>
      <c r="AJ9" s="1">
        <v>73.7</v>
      </c>
      <c r="AK9" s="1">
        <v>73.400000000000006</v>
      </c>
      <c r="AL9" s="1">
        <v>73</v>
      </c>
      <c r="AM9" s="1">
        <v>76.5</v>
      </c>
      <c r="AN9" s="1">
        <v>75</v>
      </c>
      <c r="AO9" s="1">
        <v>71.2</v>
      </c>
      <c r="AP9" s="1">
        <v>70.8</v>
      </c>
      <c r="AQ9" s="1">
        <v>73.5</v>
      </c>
      <c r="AR9" s="1">
        <v>71.099999999999994</v>
      </c>
      <c r="AS9" s="1">
        <v>73.7</v>
      </c>
      <c r="AT9" s="1">
        <v>72.2</v>
      </c>
      <c r="AU9" s="1">
        <v>71.7</v>
      </c>
      <c r="AV9" s="1">
        <v>70.5</v>
      </c>
      <c r="AW9" s="1">
        <v>70.099999999999994</v>
      </c>
      <c r="AX9" s="1">
        <v>71</v>
      </c>
      <c r="AY9" s="1">
        <v>71.599999999999994</v>
      </c>
      <c r="AZ9" s="1">
        <v>70.3</v>
      </c>
      <c r="BA9" s="1">
        <v>72.5</v>
      </c>
      <c r="BB9" s="1">
        <v>75.400000000000006</v>
      </c>
      <c r="BC9" s="1">
        <v>74.099999999999994</v>
      </c>
      <c r="BD9" s="1">
        <v>75.599999999999994</v>
      </c>
      <c r="BE9" s="1">
        <v>75.5</v>
      </c>
      <c r="BF9" s="1">
        <v>76.400000000000006</v>
      </c>
      <c r="BG9" s="1">
        <v>77.900000000000006</v>
      </c>
      <c r="BH9" s="1">
        <v>75.5</v>
      </c>
      <c r="BI9" s="1">
        <v>78.5</v>
      </c>
      <c r="BJ9" s="1">
        <v>80.7</v>
      </c>
      <c r="BK9" s="1">
        <v>79.2</v>
      </c>
      <c r="BL9" s="1">
        <v>79.900000000000006</v>
      </c>
      <c r="BM9" s="1">
        <v>79.400000000000006</v>
      </c>
      <c r="BN9" s="1">
        <v>77</v>
      </c>
      <c r="BO9" s="1">
        <v>76</v>
      </c>
      <c r="BP9" s="1">
        <v>73</v>
      </c>
      <c r="BQ9" s="1">
        <v>73.400000000000006</v>
      </c>
      <c r="BR9" s="1">
        <v>72.8</v>
      </c>
      <c r="BS9" s="1">
        <v>73.8</v>
      </c>
      <c r="BT9" s="1">
        <v>73.3</v>
      </c>
      <c r="BU9" s="1">
        <v>73.8</v>
      </c>
      <c r="BV9" s="1">
        <v>86</v>
      </c>
      <c r="BW9" s="1">
        <v>85.4</v>
      </c>
      <c r="BX9" s="1">
        <v>86.5</v>
      </c>
      <c r="BY9" s="1">
        <v>87.2</v>
      </c>
      <c r="BZ9" s="1">
        <v>85.8</v>
      </c>
      <c r="CA9" s="1">
        <v>85.3</v>
      </c>
      <c r="CB9" s="1">
        <v>84.7</v>
      </c>
      <c r="CC9" s="1">
        <v>83.3</v>
      </c>
      <c r="CD9" s="1">
        <v>83.6</v>
      </c>
      <c r="CE9" s="1">
        <v>84</v>
      </c>
      <c r="CF9" s="1">
        <v>83</v>
      </c>
      <c r="CG9" s="1">
        <v>83.1</v>
      </c>
      <c r="CH9" s="1">
        <v>82.3</v>
      </c>
      <c r="CI9" s="1">
        <v>82.1</v>
      </c>
      <c r="CJ9" s="1">
        <v>81.2</v>
      </c>
      <c r="CK9" s="1">
        <v>82.1</v>
      </c>
      <c r="CL9" s="1">
        <v>80.900000000000006</v>
      </c>
      <c r="CM9" s="1">
        <v>80.2</v>
      </c>
      <c r="CN9" s="1">
        <v>81.2</v>
      </c>
      <c r="CO9" s="1">
        <v>81.8</v>
      </c>
      <c r="CP9" s="1">
        <v>81.400000000000006</v>
      </c>
      <c r="CQ9" s="1">
        <v>81</v>
      </c>
      <c r="CR9" s="1">
        <v>81.8</v>
      </c>
      <c r="CS9" s="1">
        <v>82.6</v>
      </c>
      <c r="DF9" s="1" t="s">
        <v>15</v>
      </c>
      <c r="DG9" s="1">
        <v>0.36</v>
      </c>
    </row>
    <row r="10" spans="1:111" x14ac:dyDescent="0.35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>
        <v>79</v>
      </c>
      <c r="R10" s="8">
        <v>80</v>
      </c>
      <c r="S10" s="8">
        <v>80</v>
      </c>
      <c r="T10" s="8">
        <v>79</v>
      </c>
      <c r="U10" s="8">
        <v>79</v>
      </c>
      <c r="V10" s="8">
        <v>79</v>
      </c>
      <c r="W10" s="8">
        <v>79</v>
      </c>
      <c r="X10" s="8">
        <v>78.5</v>
      </c>
      <c r="Y10" s="8">
        <v>78.5</v>
      </c>
      <c r="Z10" s="8">
        <v>78.5</v>
      </c>
      <c r="AA10" s="8">
        <v>79.5</v>
      </c>
      <c r="AB10" s="8">
        <v>81.5</v>
      </c>
      <c r="AC10" s="8">
        <v>82</v>
      </c>
      <c r="AD10" s="8">
        <v>80.5</v>
      </c>
      <c r="AE10" s="8">
        <v>80.5</v>
      </c>
      <c r="AF10" s="8">
        <v>81</v>
      </c>
      <c r="AG10" s="8">
        <v>80</v>
      </c>
      <c r="AH10" s="8">
        <v>84</v>
      </c>
      <c r="AI10" s="8">
        <v>81.5</v>
      </c>
      <c r="AJ10" s="8">
        <v>82</v>
      </c>
      <c r="AK10" s="8">
        <v>81.5</v>
      </c>
      <c r="AL10" s="9">
        <v>82.5</v>
      </c>
      <c r="AM10" s="1">
        <v>87</v>
      </c>
      <c r="AN10" s="1">
        <v>85</v>
      </c>
      <c r="AO10" s="1">
        <v>80.5</v>
      </c>
      <c r="AP10" s="1">
        <v>79</v>
      </c>
      <c r="AQ10" s="1">
        <v>82.5</v>
      </c>
      <c r="AR10" s="1">
        <v>81</v>
      </c>
      <c r="AS10" s="1">
        <v>83.5</v>
      </c>
      <c r="AT10" s="1">
        <v>83</v>
      </c>
      <c r="AU10" s="1">
        <v>80</v>
      </c>
      <c r="AV10" s="1">
        <v>80</v>
      </c>
      <c r="AW10" s="1">
        <v>79</v>
      </c>
      <c r="AX10" s="1">
        <v>80</v>
      </c>
      <c r="AY10" s="1">
        <v>80</v>
      </c>
      <c r="AZ10" s="1">
        <v>79.5</v>
      </c>
      <c r="BA10" s="1">
        <v>83.5</v>
      </c>
      <c r="BB10" s="1">
        <v>84</v>
      </c>
      <c r="BC10" s="1">
        <v>84</v>
      </c>
      <c r="BD10" s="1">
        <v>86</v>
      </c>
      <c r="BE10" s="1">
        <v>85.5</v>
      </c>
      <c r="BF10" s="1">
        <v>85</v>
      </c>
      <c r="BG10" s="1">
        <v>86</v>
      </c>
      <c r="BH10" s="1">
        <v>85.5</v>
      </c>
      <c r="BI10" s="1">
        <v>87.5</v>
      </c>
      <c r="BJ10" s="1">
        <v>88.5</v>
      </c>
      <c r="BK10" s="1">
        <v>87.4</v>
      </c>
      <c r="BL10" s="1">
        <v>87.5</v>
      </c>
      <c r="BM10" s="1">
        <v>88</v>
      </c>
      <c r="BN10" s="1">
        <v>86</v>
      </c>
      <c r="BO10" s="1">
        <v>86</v>
      </c>
      <c r="BP10" s="1">
        <v>84.2</v>
      </c>
      <c r="BQ10" s="1">
        <v>84.5</v>
      </c>
      <c r="BR10" s="1">
        <v>83.4</v>
      </c>
      <c r="BS10" s="1">
        <v>83.5</v>
      </c>
      <c r="BT10" s="1">
        <v>83.5</v>
      </c>
      <c r="BU10" s="1">
        <v>83.5</v>
      </c>
      <c r="DF10" s="1" t="s">
        <v>17</v>
      </c>
      <c r="DG10" s="1">
        <v>0.42399999999999999</v>
      </c>
    </row>
    <row r="11" spans="1:111" x14ac:dyDescent="0.35">
      <c r="A11" s="1" t="s">
        <v>18</v>
      </c>
      <c r="B11" s="1">
        <v>88</v>
      </c>
      <c r="C11" s="1">
        <v>84.5</v>
      </c>
      <c r="D11" s="1">
        <v>85</v>
      </c>
      <c r="E11" s="1">
        <v>84</v>
      </c>
      <c r="G11" s="1">
        <v>90</v>
      </c>
      <c r="K11" s="1">
        <v>88</v>
      </c>
      <c r="L11" s="1">
        <v>87</v>
      </c>
      <c r="M11" s="1">
        <v>87</v>
      </c>
      <c r="O11" s="1">
        <v>87</v>
      </c>
      <c r="P11" s="1">
        <v>85.5</v>
      </c>
      <c r="Q11" s="1">
        <v>86.5</v>
      </c>
      <c r="R11" s="1">
        <v>87.5</v>
      </c>
      <c r="S11" s="1">
        <v>88</v>
      </c>
      <c r="T11" s="1">
        <v>87</v>
      </c>
      <c r="U11" s="1">
        <v>85.5</v>
      </c>
      <c r="V11" s="1">
        <v>87</v>
      </c>
      <c r="W11" s="1">
        <v>87</v>
      </c>
      <c r="X11" s="1">
        <v>86.5</v>
      </c>
      <c r="Y11" s="1">
        <v>86.5</v>
      </c>
      <c r="Z11" s="1">
        <v>87</v>
      </c>
      <c r="AA11" s="1">
        <v>86.7</v>
      </c>
      <c r="AB11" s="1">
        <v>88.5</v>
      </c>
      <c r="AC11" s="1">
        <v>87.5</v>
      </c>
      <c r="AD11" s="1">
        <v>88</v>
      </c>
      <c r="AE11" s="1">
        <v>86.5</v>
      </c>
      <c r="AF11" s="1">
        <v>88.5</v>
      </c>
      <c r="AG11" s="1">
        <v>89</v>
      </c>
      <c r="AH11" s="1">
        <v>92.3</v>
      </c>
      <c r="AI11" s="1">
        <v>89.5</v>
      </c>
      <c r="AJ11" s="1">
        <v>90.5</v>
      </c>
      <c r="AK11" s="1">
        <v>90</v>
      </c>
      <c r="AL11" s="10">
        <v>90.5</v>
      </c>
      <c r="AM11" s="1">
        <v>95.5</v>
      </c>
      <c r="AN11" s="1">
        <v>94</v>
      </c>
      <c r="AO11" s="1">
        <v>88</v>
      </c>
      <c r="AP11" s="1">
        <v>87.3</v>
      </c>
      <c r="AQ11" s="1">
        <v>89.5</v>
      </c>
      <c r="AR11" s="1">
        <v>88</v>
      </c>
      <c r="AS11" s="1">
        <v>90.5</v>
      </c>
      <c r="AT11" s="1">
        <v>89</v>
      </c>
      <c r="AU11" s="1">
        <v>86.5</v>
      </c>
      <c r="AV11" s="1">
        <v>86</v>
      </c>
      <c r="AW11" s="1">
        <v>86</v>
      </c>
      <c r="AX11" s="1">
        <v>87</v>
      </c>
      <c r="AY11" s="1">
        <v>85</v>
      </c>
      <c r="AZ11" s="1">
        <v>85</v>
      </c>
      <c r="BA11" s="1">
        <v>89.5</v>
      </c>
      <c r="BB11" s="1">
        <v>90</v>
      </c>
      <c r="BC11" s="1">
        <v>89.5</v>
      </c>
      <c r="BD11" s="1">
        <v>90</v>
      </c>
      <c r="BE11" s="1">
        <v>91</v>
      </c>
      <c r="BF11" s="1">
        <v>91.5</v>
      </c>
      <c r="BG11" s="1">
        <v>92.3</v>
      </c>
      <c r="BH11" s="1">
        <v>92</v>
      </c>
      <c r="BI11" s="1">
        <v>94</v>
      </c>
      <c r="BJ11" s="1">
        <v>96.2</v>
      </c>
      <c r="BK11" s="1">
        <v>95.5</v>
      </c>
      <c r="BL11" s="1">
        <v>95.3</v>
      </c>
      <c r="BM11" s="1">
        <v>96</v>
      </c>
      <c r="BN11" s="1">
        <v>94</v>
      </c>
      <c r="BO11" s="1">
        <v>94</v>
      </c>
      <c r="BP11" s="1">
        <v>91</v>
      </c>
      <c r="BQ11" s="1">
        <v>91.5</v>
      </c>
      <c r="BR11" s="1">
        <v>91</v>
      </c>
      <c r="BS11" s="1">
        <v>90</v>
      </c>
      <c r="BT11" s="1">
        <v>90.4</v>
      </c>
      <c r="BU11" s="1">
        <v>90.5</v>
      </c>
      <c r="BV11" s="1">
        <v>103</v>
      </c>
      <c r="BW11" s="1">
        <v>102</v>
      </c>
      <c r="BX11" s="1">
        <v>103</v>
      </c>
      <c r="BY11" s="1">
        <v>103.5</v>
      </c>
      <c r="BZ11" s="1">
        <v>105.5</v>
      </c>
      <c r="CA11" s="1">
        <v>103</v>
      </c>
      <c r="CB11" s="1">
        <v>102.5</v>
      </c>
      <c r="CC11" s="1">
        <v>102.2</v>
      </c>
      <c r="CD11" s="1">
        <v>101</v>
      </c>
      <c r="CE11" s="1">
        <v>103</v>
      </c>
      <c r="CF11" s="1">
        <v>100.5</v>
      </c>
      <c r="CG11" s="1">
        <v>102</v>
      </c>
      <c r="CH11" s="1">
        <v>100.3</v>
      </c>
      <c r="CI11" s="1">
        <v>99</v>
      </c>
      <c r="CJ11" s="1">
        <v>100</v>
      </c>
      <c r="CK11" s="1">
        <v>100</v>
      </c>
      <c r="CL11" s="1">
        <v>99</v>
      </c>
      <c r="CM11" s="1">
        <v>98.5</v>
      </c>
      <c r="CN11" s="1">
        <v>100</v>
      </c>
      <c r="CO11" s="1">
        <v>101.3</v>
      </c>
      <c r="CP11" s="1">
        <v>100.5</v>
      </c>
      <c r="CQ11" s="1">
        <v>99.75</v>
      </c>
      <c r="CR11" s="1">
        <v>99.7</v>
      </c>
      <c r="CS11" s="1">
        <v>99.5</v>
      </c>
      <c r="DF11" s="1" t="s">
        <v>19</v>
      </c>
      <c r="DG11" s="1">
        <v>0.42799999999999999</v>
      </c>
    </row>
    <row r="12" spans="1:111" x14ac:dyDescent="0.35">
      <c r="A12" s="1" t="s">
        <v>20</v>
      </c>
      <c r="B12" s="1">
        <v>95</v>
      </c>
      <c r="C12" s="1">
        <v>95</v>
      </c>
      <c r="D12" s="1">
        <v>96.5</v>
      </c>
      <c r="E12" s="1">
        <v>97</v>
      </c>
      <c r="G12" s="1">
        <v>97</v>
      </c>
      <c r="K12" s="1">
        <v>96</v>
      </c>
      <c r="M12" s="1">
        <v>95</v>
      </c>
      <c r="P12" s="1">
        <v>92.5</v>
      </c>
      <c r="Q12" s="1">
        <v>92.5</v>
      </c>
      <c r="R12" s="1">
        <v>92.5</v>
      </c>
      <c r="S12" s="1">
        <v>93</v>
      </c>
      <c r="T12" s="1">
        <v>93</v>
      </c>
      <c r="U12" s="1">
        <v>93</v>
      </c>
      <c r="V12" s="1">
        <v>93</v>
      </c>
      <c r="W12" s="1">
        <v>93</v>
      </c>
      <c r="X12" s="1">
        <v>93</v>
      </c>
      <c r="Y12" s="1">
        <v>93</v>
      </c>
      <c r="Z12" s="1">
        <v>93</v>
      </c>
      <c r="AA12" s="1">
        <v>93</v>
      </c>
      <c r="AB12" s="1">
        <v>93</v>
      </c>
      <c r="AC12" s="1">
        <v>93</v>
      </c>
      <c r="AD12" s="1">
        <v>94</v>
      </c>
      <c r="AE12" s="1">
        <v>94</v>
      </c>
      <c r="AF12" s="1">
        <v>94</v>
      </c>
      <c r="AG12" s="1">
        <v>94</v>
      </c>
      <c r="AH12" s="1">
        <v>95.5</v>
      </c>
      <c r="AI12" s="1">
        <v>94</v>
      </c>
      <c r="AJ12" s="1">
        <v>95.5</v>
      </c>
      <c r="AK12" s="1">
        <v>95.5</v>
      </c>
      <c r="AL12" s="10">
        <v>95.5</v>
      </c>
      <c r="AM12" s="1">
        <v>95.5</v>
      </c>
      <c r="AN12" s="1">
        <v>97</v>
      </c>
      <c r="AO12" s="1">
        <v>95</v>
      </c>
      <c r="AP12" s="1">
        <v>95</v>
      </c>
      <c r="AQ12" s="1">
        <v>95</v>
      </c>
      <c r="AR12" s="1">
        <v>95</v>
      </c>
      <c r="AS12" s="1">
        <v>95</v>
      </c>
      <c r="AT12" s="1">
        <v>95</v>
      </c>
      <c r="AU12" s="1">
        <v>95</v>
      </c>
      <c r="AV12" s="1">
        <v>95</v>
      </c>
      <c r="AW12" s="1">
        <v>95</v>
      </c>
      <c r="AX12" s="1">
        <v>95</v>
      </c>
      <c r="AY12" s="1">
        <v>95</v>
      </c>
      <c r="AZ12" s="1">
        <v>95</v>
      </c>
      <c r="BA12" s="1">
        <v>95</v>
      </c>
      <c r="BB12" s="1">
        <v>95</v>
      </c>
      <c r="BC12" s="1">
        <v>95</v>
      </c>
      <c r="BD12" s="1">
        <v>95</v>
      </c>
      <c r="BE12" s="1">
        <v>95</v>
      </c>
      <c r="BF12" s="1">
        <v>95</v>
      </c>
      <c r="BG12" s="1">
        <v>95</v>
      </c>
      <c r="BH12" s="1">
        <v>95</v>
      </c>
      <c r="BI12" s="1">
        <v>95</v>
      </c>
      <c r="BJ12" s="1">
        <v>95</v>
      </c>
      <c r="BK12" s="1">
        <v>95</v>
      </c>
      <c r="BL12" s="1">
        <v>95</v>
      </c>
      <c r="BM12" s="1">
        <v>95</v>
      </c>
      <c r="BN12" s="1">
        <v>95</v>
      </c>
      <c r="BO12" s="1">
        <v>95</v>
      </c>
      <c r="BP12" s="1">
        <v>95</v>
      </c>
      <c r="BQ12" s="1">
        <v>95</v>
      </c>
      <c r="BR12" s="1">
        <v>95</v>
      </c>
      <c r="BS12" s="1">
        <v>95</v>
      </c>
      <c r="BT12" s="1">
        <v>95</v>
      </c>
      <c r="BU12" s="1">
        <v>95</v>
      </c>
      <c r="BV12" s="1">
        <v>97</v>
      </c>
      <c r="BW12" s="1">
        <v>98</v>
      </c>
      <c r="BX12" s="1">
        <v>100</v>
      </c>
      <c r="BY12" s="1">
        <v>100.5</v>
      </c>
      <c r="BZ12" s="1">
        <v>101.5</v>
      </c>
      <c r="CA12" s="1">
        <v>101.5</v>
      </c>
      <c r="CB12" s="1">
        <v>101.6</v>
      </c>
      <c r="CC12" s="1">
        <v>101</v>
      </c>
      <c r="CD12" s="1">
        <v>100.6</v>
      </c>
      <c r="CE12" s="1">
        <v>101.4</v>
      </c>
      <c r="CF12" s="1">
        <v>100.5</v>
      </c>
      <c r="CG12" s="1">
        <v>101</v>
      </c>
      <c r="CH12" s="1">
        <v>101</v>
      </c>
      <c r="CI12" s="1">
        <v>99.5</v>
      </c>
      <c r="CJ12" s="1">
        <v>100.5</v>
      </c>
      <c r="CK12" s="1">
        <v>99.5</v>
      </c>
      <c r="CM12" s="1">
        <v>99.5</v>
      </c>
      <c r="CN12" s="1">
        <v>98</v>
      </c>
      <c r="CO12" s="1">
        <v>99</v>
      </c>
      <c r="CP12" s="1">
        <v>98.5</v>
      </c>
      <c r="CQ12" s="1">
        <v>98</v>
      </c>
      <c r="CR12" s="1">
        <v>98</v>
      </c>
      <c r="CS12" s="1">
        <v>100</v>
      </c>
      <c r="DF12" s="1" t="s">
        <v>21</v>
      </c>
      <c r="DG12" s="1">
        <v>0.45800000000000002</v>
      </c>
    </row>
    <row r="13" spans="1:111" x14ac:dyDescent="0.35">
      <c r="A13" s="1" t="s">
        <v>22</v>
      </c>
      <c r="B13" s="1">
        <v>36.5</v>
      </c>
      <c r="C13" s="1">
        <v>35</v>
      </c>
      <c r="D13" s="1">
        <v>36.5</v>
      </c>
      <c r="E13" s="1">
        <v>36</v>
      </c>
      <c r="G13" s="1">
        <v>37.200000000000003</v>
      </c>
      <c r="K13" s="1">
        <v>36</v>
      </c>
      <c r="L13" s="1">
        <v>36</v>
      </c>
      <c r="M13" s="1">
        <v>36.5</v>
      </c>
      <c r="O13" s="1">
        <v>36</v>
      </c>
      <c r="P13" s="1">
        <v>34.5</v>
      </c>
      <c r="Q13" s="1">
        <v>35.5</v>
      </c>
      <c r="R13" s="1">
        <v>35</v>
      </c>
      <c r="S13" s="1">
        <v>35</v>
      </c>
      <c r="T13" s="1">
        <v>35</v>
      </c>
      <c r="U13" s="1">
        <v>35</v>
      </c>
      <c r="V13" s="1">
        <v>35</v>
      </c>
      <c r="W13" s="1">
        <v>35</v>
      </c>
      <c r="X13" s="1">
        <v>35</v>
      </c>
      <c r="Y13" s="1">
        <v>35</v>
      </c>
      <c r="Z13" s="1">
        <v>35</v>
      </c>
      <c r="AA13" s="1">
        <v>34.5</v>
      </c>
      <c r="AB13" s="1">
        <v>34.5</v>
      </c>
      <c r="AC13" s="1">
        <v>35</v>
      </c>
      <c r="AD13" s="1">
        <v>35</v>
      </c>
      <c r="AE13" s="1">
        <v>35</v>
      </c>
      <c r="AF13" s="1">
        <v>35</v>
      </c>
      <c r="AG13" s="1">
        <v>34.5</v>
      </c>
      <c r="AH13" s="1">
        <v>35.5</v>
      </c>
      <c r="AI13" s="1">
        <v>35</v>
      </c>
      <c r="AJ13" s="1">
        <v>35</v>
      </c>
      <c r="AK13" s="1">
        <v>35</v>
      </c>
      <c r="AL13" s="10">
        <v>34.5</v>
      </c>
      <c r="AM13" s="1">
        <v>36.200000000000003</v>
      </c>
      <c r="AN13" s="1">
        <v>35.799999999999997</v>
      </c>
      <c r="AO13" s="1">
        <v>35.799999999999997</v>
      </c>
      <c r="AP13" s="1">
        <v>35.6</v>
      </c>
      <c r="AQ13" s="1">
        <v>36</v>
      </c>
      <c r="AR13" s="1">
        <v>35.5</v>
      </c>
      <c r="AS13" s="1">
        <v>35.6</v>
      </c>
      <c r="AT13" s="1">
        <v>35.6</v>
      </c>
      <c r="AU13" s="1">
        <v>35.700000000000003</v>
      </c>
      <c r="AV13" s="1">
        <v>35.6</v>
      </c>
      <c r="AW13" s="1">
        <v>35.5</v>
      </c>
      <c r="AX13" s="1">
        <v>35.700000000000003</v>
      </c>
      <c r="AY13" s="1">
        <v>35.6</v>
      </c>
      <c r="AZ13" s="1">
        <v>35.700000000000003</v>
      </c>
      <c r="BA13" s="1">
        <v>36.4</v>
      </c>
      <c r="BB13" s="1">
        <v>36.5</v>
      </c>
      <c r="BC13" s="1">
        <v>36.5</v>
      </c>
      <c r="BD13" s="1">
        <v>36.799999999999997</v>
      </c>
      <c r="BE13" s="1">
        <v>36.299999999999997</v>
      </c>
      <c r="BF13" s="1">
        <v>36.6</v>
      </c>
      <c r="BG13" s="1">
        <v>36.6</v>
      </c>
      <c r="BH13" s="1">
        <v>36.200000000000003</v>
      </c>
      <c r="BI13" s="1">
        <v>36.5</v>
      </c>
      <c r="BJ13" s="1">
        <v>36.700000000000003</v>
      </c>
      <c r="BK13" s="1">
        <v>36.6</v>
      </c>
      <c r="BL13" s="1">
        <v>36.5</v>
      </c>
      <c r="BM13" s="1">
        <v>36.4</v>
      </c>
      <c r="BN13" s="1">
        <v>36</v>
      </c>
      <c r="BO13" s="1">
        <v>36</v>
      </c>
      <c r="BP13" s="1">
        <v>35.9</v>
      </c>
      <c r="BQ13" s="1">
        <v>35.200000000000003</v>
      </c>
      <c r="BR13" s="1">
        <v>36</v>
      </c>
      <c r="BS13" s="1">
        <v>35.9</v>
      </c>
      <c r="BT13" s="1">
        <v>36.5</v>
      </c>
      <c r="BU13" s="1">
        <v>35.799999999999997</v>
      </c>
      <c r="BV13" s="1">
        <v>37</v>
      </c>
      <c r="BW13" s="1">
        <v>37.9</v>
      </c>
      <c r="BX13" s="1">
        <v>37.700000000000003</v>
      </c>
      <c r="BY13" s="1">
        <v>37.9</v>
      </c>
      <c r="BZ13" s="1">
        <v>37.5</v>
      </c>
      <c r="CA13" s="1">
        <v>38</v>
      </c>
      <c r="CB13" s="1">
        <v>38</v>
      </c>
      <c r="CC13" s="1">
        <v>37.6</v>
      </c>
      <c r="CD13" s="1">
        <v>37.4</v>
      </c>
      <c r="CE13" s="1">
        <v>38</v>
      </c>
      <c r="CF13" s="1">
        <v>37.4</v>
      </c>
      <c r="CG13" s="1">
        <v>38</v>
      </c>
      <c r="CH13" s="1">
        <v>37.6</v>
      </c>
      <c r="CI13" s="1">
        <v>39.5</v>
      </c>
      <c r="CJ13" s="1">
        <v>37.6</v>
      </c>
      <c r="CK13" s="1">
        <v>37.299999999999997</v>
      </c>
      <c r="CL13" s="1">
        <v>37.6</v>
      </c>
      <c r="CM13" s="1">
        <v>37.5</v>
      </c>
      <c r="CN13" s="1">
        <v>37.299999999999997</v>
      </c>
      <c r="CO13" s="1">
        <v>37</v>
      </c>
      <c r="CP13" s="1">
        <v>37</v>
      </c>
      <c r="CQ13" s="1">
        <v>37</v>
      </c>
      <c r="CR13" s="1">
        <v>37.799999999999997</v>
      </c>
      <c r="CS13" s="1">
        <v>37.200000000000003</v>
      </c>
      <c r="DF13" s="1" t="s">
        <v>23</v>
      </c>
      <c r="DG13" s="1">
        <v>0.49199999999999999</v>
      </c>
    </row>
    <row r="14" spans="1:111" x14ac:dyDescent="0.35">
      <c r="A14" s="1" t="s">
        <v>24</v>
      </c>
      <c r="AL14" s="10"/>
      <c r="CO14" s="1">
        <v>55</v>
      </c>
      <c r="CP14" s="1">
        <v>55</v>
      </c>
      <c r="CQ14" s="1">
        <v>54</v>
      </c>
      <c r="CR14" s="1">
        <v>55</v>
      </c>
      <c r="CS14" s="1">
        <v>56.15</v>
      </c>
    </row>
    <row r="15" spans="1:111" x14ac:dyDescent="0.35">
      <c r="A15" s="11" t="s">
        <v>25</v>
      </c>
      <c r="B15" s="12">
        <v>27</v>
      </c>
      <c r="C15" s="12">
        <v>27</v>
      </c>
      <c r="D15" s="12">
        <v>27</v>
      </c>
      <c r="E15" s="12">
        <v>27</v>
      </c>
      <c r="F15" s="12">
        <v>27</v>
      </c>
      <c r="G15" s="12">
        <v>27</v>
      </c>
      <c r="H15" s="12">
        <v>27</v>
      </c>
      <c r="I15" s="12">
        <v>27</v>
      </c>
      <c r="J15" s="12">
        <v>27</v>
      </c>
      <c r="K15" s="12">
        <v>27</v>
      </c>
      <c r="L15" s="12">
        <v>27</v>
      </c>
      <c r="M15" s="12">
        <v>27</v>
      </c>
      <c r="N15" s="12">
        <v>27</v>
      </c>
      <c r="O15" s="12">
        <v>27</v>
      </c>
      <c r="P15" s="12">
        <v>27</v>
      </c>
      <c r="Q15" s="12">
        <v>27</v>
      </c>
      <c r="R15" s="12">
        <v>27</v>
      </c>
      <c r="S15" s="12">
        <v>27</v>
      </c>
      <c r="T15" s="12">
        <v>27</v>
      </c>
      <c r="U15" s="12">
        <v>27</v>
      </c>
      <c r="V15" s="12">
        <v>27</v>
      </c>
      <c r="W15" s="12">
        <v>27</v>
      </c>
      <c r="X15" s="12">
        <v>27</v>
      </c>
      <c r="Y15" s="12">
        <v>27</v>
      </c>
      <c r="Z15" s="12">
        <v>27</v>
      </c>
      <c r="AA15" s="12">
        <v>27</v>
      </c>
      <c r="AB15" s="12">
        <v>27</v>
      </c>
      <c r="AC15" s="12">
        <v>27</v>
      </c>
      <c r="AD15" s="12">
        <v>27</v>
      </c>
      <c r="AE15" s="12">
        <v>27</v>
      </c>
      <c r="AF15" s="12">
        <v>27</v>
      </c>
      <c r="AG15" s="12"/>
      <c r="AH15" s="11">
        <v>27</v>
      </c>
      <c r="AI15" s="11">
        <v>27</v>
      </c>
      <c r="AJ15" s="11">
        <v>27</v>
      </c>
      <c r="AK15" s="11">
        <v>27.1</v>
      </c>
      <c r="AL15" s="13">
        <v>27</v>
      </c>
      <c r="AM15" s="1">
        <v>28</v>
      </c>
      <c r="AN15" s="1">
        <v>27.7</v>
      </c>
      <c r="AO15" s="1">
        <v>27.8</v>
      </c>
      <c r="AP15" s="1">
        <v>27.4</v>
      </c>
      <c r="AQ15" s="1">
        <v>28.1</v>
      </c>
      <c r="AR15" s="1">
        <v>27.5</v>
      </c>
      <c r="AS15" s="1">
        <v>27.7</v>
      </c>
      <c r="AT15" s="1">
        <v>27.5</v>
      </c>
      <c r="AU15" s="1">
        <v>27.8</v>
      </c>
      <c r="AV15" s="1">
        <v>27.8</v>
      </c>
      <c r="AW15" s="1">
        <v>27.7</v>
      </c>
      <c r="AX15" s="1">
        <v>27.7</v>
      </c>
      <c r="AY15" s="1">
        <v>27.9</v>
      </c>
      <c r="AZ15" s="1">
        <v>27.8</v>
      </c>
      <c r="BA15" s="1">
        <v>28</v>
      </c>
      <c r="BB15" s="1">
        <v>28.5</v>
      </c>
      <c r="BC15" s="1">
        <v>28.5</v>
      </c>
      <c r="BD15" s="1">
        <v>28.5</v>
      </c>
      <c r="BE15" s="1">
        <v>28.5</v>
      </c>
      <c r="BF15" s="1">
        <v>28.7</v>
      </c>
      <c r="BG15" s="1">
        <v>28.8</v>
      </c>
      <c r="BH15" s="1">
        <v>28.6</v>
      </c>
      <c r="BI15" s="1">
        <v>29</v>
      </c>
      <c r="BJ15" s="1">
        <v>29</v>
      </c>
      <c r="BK15" s="1">
        <v>29.4</v>
      </c>
      <c r="BL15" s="1">
        <v>29.1</v>
      </c>
      <c r="BM15" s="1">
        <v>29.2</v>
      </c>
      <c r="BN15" s="1">
        <v>28.4</v>
      </c>
      <c r="BO15" s="1">
        <v>28.4</v>
      </c>
      <c r="BP15" s="1">
        <v>27.9</v>
      </c>
      <c r="BQ15" s="1">
        <v>28</v>
      </c>
      <c r="BR15" s="1">
        <v>28</v>
      </c>
      <c r="BS15" s="1">
        <v>28.2</v>
      </c>
      <c r="BT15" s="1">
        <v>28.5</v>
      </c>
      <c r="BU15" s="1">
        <v>28</v>
      </c>
      <c r="BV15" s="1">
        <v>29.7</v>
      </c>
      <c r="BW15" s="1">
        <v>29.6</v>
      </c>
      <c r="BX15" s="1">
        <v>29.8</v>
      </c>
      <c r="BY15" s="1">
        <v>29.4</v>
      </c>
      <c r="BZ15" s="1">
        <v>29.7</v>
      </c>
      <c r="CA15" s="1">
        <v>29.2</v>
      </c>
      <c r="CB15" s="1">
        <v>29.4</v>
      </c>
      <c r="CC15" s="1">
        <v>29</v>
      </c>
      <c r="CD15" s="1">
        <v>29.4</v>
      </c>
      <c r="CE15" s="1">
        <v>29</v>
      </c>
      <c r="CF15" s="1">
        <v>28.9</v>
      </c>
      <c r="CG15" s="1">
        <v>28.8</v>
      </c>
      <c r="CH15" s="1">
        <v>28.8</v>
      </c>
      <c r="CI15" s="1">
        <v>29.1</v>
      </c>
      <c r="CJ15" s="1">
        <v>28.7</v>
      </c>
      <c r="CK15" s="1">
        <v>28.9</v>
      </c>
      <c r="CL15" s="1">
        <v>29</v>
      </c>
      <c r="CM15" s="1">
        <v>28.7</v>
      </c>
      <c r="CN15" s="1">
        <v>28.5</v>
      </c>
      <c r="CO15" s="1">
        <v>28.1</v>
      </c>
      <c r="CP15" s="1">
        <v>28.4</v>
      </c>
      <c r="CQ15" s="1">
        <v>28.3</v>
      </c>
      <c r="CR15" s="1">
        <v>28.3</v>
      </c>
      <c r="CS15" s="1">
        <v>28.5</v>
      </c>
      <c r="DF15" s="1" t="s">
        <v>26</v>
      </c>
      <c r="DG15" s="1">
        <v>0.5</v>
      </c>
    </row>
    <row r="16" spans="1:111" x14ac:dyDescent="0.35">
      <c r="A16" s="1" t="s">
        <v>27</v>
      </c>
      <c r="B16" s="1">
        <v>28</v>
      </c>
      <c r="C16" s="1">
        <v>35</v>
      </c>
      <c r="D16" s="1">
        <v>34</v>
      </c>
      <c r="E16" s="1">
        <v>32</v>
      </c>
      <c r="F16" s="1">
        <v>33</v>
      </c>
      <c r="G16" s="1">
        <v>40</v>
      </c>
      <c r="H16" s="1">
        <v>37</v>
      </c>
      <c r="I16" s="1">
        <v>36</v>
      </c>
      <c r="J16" s="1">
        <v>34</v>
      </c>
      <c r="K16" s="1">
        <v>30</v>
      </c>
      <c r="L16" s="1">
        <v>28</v>
      </c>
      <c r="M16" s="1">
        <v>27</v>
      </c>
      <c r="N16" s="1">
        <v>29</v>
      </c>
      <c r="O16" s="1">
        <v>30</v>
      </c>
      <c r="P16" s="1">
        <v>29</v>
      </c>
      <c r="Q16" s="1">
        <v>27</v>
      </c>
      <c r="R16" s="1">
        <v>30</v>
      </c>
      <c r="S16" s="1">
        <v>30</v>
      </c>
      <c r="T16" s="1">
        <v>27</v>
      </c>
      <c r="U16" s="1">
        <v>26</v>
      </c>
      <c r="V16" s="1">
        <v>28</v>
      </c>
      <c r="W16" s="1">
        <v>30</v>
      </c>
      <c r="X16" s="1">
        <v>30</v>
      </c>
      <c r="Y16" s="1">
        <v>30</v>
      </c>
      <c r="Z16" s="1">
        <v>30</v>
      </c>
      <c r="AA16" s="1">
        <v>30</v>
      </c>
      <c r="AB16" s="1">
        <v>29</v>
      </c>
      <c r="AC16" s="1">
        <v>31</v>
      </c>
      <c r="AD16" s="1">
        <v>30</v>
      </c>
      <c r="AE16" s="1">
        <v>28</v>
      </c>
      <c r="AF16" s="1">
        <v>29</v>
      </c>
      <c r="AH16" s="1">
        <v>36</v>
      </c>
      <c r="AI16" s="1">
        <v>36</v>
      </c>
      <c r="AJ16" s="1">
        <v>37</v>
      </c>
      <c r="AK16" s="1">
        <v>36</v>
      </c>
      <c r="AL16" s="1">
        <v>35</v>
      </c>
      <c r="AM16" s="1">
        <v>40</v>
      </c>
      <c r="AN16" s="1">
        <v>38.5</v>
      </c>
      <c r="AO16" s="1">
        <v>28</v>
      </c>
      <c r="AP16" s="1">
        <v>28</v>
      </c>
      <c r="AQ16" s="1">
        <v>29</v>
      </c>
      <c r="AR16" s="1">
        <v>28</v>
      </c>
      <c r="AS16" s="1">
        <v>28</v>
      </c>
      <c r="AT16" s="1">
        <v>27</v>
      </c>
      <c r="AU16" s="1">
        <v>28</v>
      </c>
      <c r="AV16" s="1">
        <v>28</v>
      </c>
      <c r="AW16" s="1">
        <v>27</v>
      </c>
      <c r="AX16" s="1">
        <v>26</v>
      </c>
      <c r="AY16" s="1">
        <v>26</v>
      </c>
      <c r="AZ16" s="1">
        <v>25</v>
      </c>
      <c r="BA16" s="1">
        <v>33</v>
      </c>
      <c r="BB16" s="1">
        <v>34</v>
      </c>
      <c r="BC16" s="1">
        <v>34</v>
      </c>
      <c r="BD16" s="1">
        <v>35</v>
      </c>
      <c r="BE16" s="1">
        <v>35</v>
      </c>
      <c r="BF16" s="1">
        <v>34</v>
      </c>
      <c r="BG16" s="1">
        <v>36</v>
      </c>
      <c r="BH16" s="1">
        <v>36</v>
      </c>
      <c r="BI16" s="1">
        <v>39</v>
      </c>
      <c r="BJ16" s="1">
        <v>39</v>
      </c>
      <c r="BK16" s="1">
        <v>39</v>
      </c>
      <c r="BL16" s="1">
        <v>39</v>
      </c>
      <c r="BM16" s="1">
        <v>39</v>
      </c>
      <c r="BN16" s="1">
        <v>42</v>
      </c>
      <c r="BO16" s="1">
        <v>40</v>
      </c>
      <c r="BP16" s="1">
        <v>33</v>
      </c>
      <c r="BQ16" s="1">
        <v>32</v>
      </c>
      <c r="BR16" s="1">
        <v>32</v>
      </c>
      <c r="BS16" s="1">
        <v>32</v>
      </c>
      <c r="BT16" s="1">
        <v>33</v>
      </c>
      <c r="BU16" s="1">
        <v>31</v>
      </c>
      <c r="BV16" s="1">
        <v>55</v>
      </c>
      <c r="BW16" s="1">
        <v>54</v>
      </c>
      <c r="BX16" s="1">
        <v>53</v>
      </c>
      <c r="BY16" s="1">
        <v>53</v>
      </c>
      <c r="BZ16" s="1">
        <v>54</v>
      </c>
      <c r="CA16" s="1">
        <v>51</v>
      </c>
      <c r="CB16" s="1">
        <v>52</v>
      </c>
      <c r="CC16" s="1">
        <v>51</v>
      </c>
      <c r="CD16" s="1">
        <v>51</v>
      </c>
      <c r="CE16" s="1">
        <v>52</v>
      </c>
      <c r="CF16" s="1">
        <v>52</v>
      </c>
      <c r="CG16" s="1">
        <v>51</v>
      </c>
      <c r="CH16" s="1">
        <v>50</v>
      </c>
      <c r="CI16" s="1">
        <v>49</v>
      </c>
      <c r="CJ16" s="1">
        <v>48</v>
      </c>
      <c r="CK16" s="1">
        <v>50</v>
      </c>
      <c r="CL16" s="1">
        <v>49</v>
      </c>
      <c r="CM16" s="1">
        <v>50</v>
      </c>
      <c r="CN16" s="1">
        <v>49</v>
      </c>
      <c r="CO16" s="1">
        <v>50</v>
      </c>
      <c r="CP16" s="1">
        <v>49</v>
      </c>
      <c r="CQ16" s="1">
        <v>50</v>
      </c>
      <c r="CR16" s="1">
        <v>49</v>
      </c>
      <c r="CS16" s="1">
        <v>50</v>
      </c>
      <c r="DF16" s="1" t="s">
        <v>28</v>
      </c>
      <c r="DG16" s="1">
        <v>0.51</v>
      </c>
    </row>
    <row r="17" spans="1:111" x14ac:dyDescent="0.35">
      <c r="A17" s="1" t="s">
        <v>29</v>
      </c>
      <c r="B17" s="1">
        <v>18</v>
      </c>
      <c r="C17" s="1">
        <v>15</v>
      </c>
      <c r="D17" s="1">
        <v>14</v>
      </c>
      <c r="E17" s="1">
        <v>13</v>
      </c>
      <c r="F17" s="1">
        <v>14</v>
      </c>
      <c r="G17" s="1">
        <v>18</v>
      </c>
      <c r="H17" s="1">
        <v>16</v>
      </c>
      <c r="I17" s="1">
        <v>12</v>
      </c>
      <c r="J17" s="1">
        <v>12</v>
      </c>
      <c r="K17" s="1">
        <v>11</v>
      </c>
      <c r="L17" s="1">
        <v>12</v>
      </c>
      <c r="M17" s="1">
        <v>10</v>
      </c>
      <c r="N17" s="1">
        <v>14</v>
      </c>
      <c r="O17" s="1">
        <v>11</v>
      </c>
      <c r="P17" s="1">
        <v>9</v>
      </c>
      <c r="Q17" s="1">
        <v>9</v>
      </c>
      <c r="R17" s="1">
        <v>8</v>
      </c>
      <c r="S17" s="1">
        <v>10</v>
      </c>
      <c r="T17" s="1">
        <v>10</v>
      </c>
      <c r="U17" s="1">
        <v>10</v>
      </c>
      <c r="V17" s="1">
        <v>10</v>
      </c>
      <c r="W17" s="14"/>
      <c r="X17" s="1">
        <v>10</v>
      </c>
      <c r="Y17" s="1">
        <v>9</v>
      </c>
      <c r="Z17" s="1">
        <v>10</v>
      </c>
      <c r="AA17" s="1">
        <v>10</v>
      </c>
      <c r="AB17" s="1">
        <v>10</v>
      </c>
      <c r="AC17" s="1">
        <v>10</v>
      </c>
      <c r="AD17" s="1">
        <v>11</v>
      </c>
      <c r="AE17" s="1">
        <v>11</v>
      </c>
      <c r="AF17" s="1">
        <v>10</v>
      </c>
      <c r="AG17" s="14"/>
      <c r="AH17" s="1">
        <v>16</v>
      </c>
      <c r="AI17" s="1">
        <v>15</v>
      </c>
      <c r="AJ17" s="1">
        <v>16</v>
      </c>
      <c r="AK17" s="1">
        <v>15</v>
      </c>
      <c r="AL17" s="1">
        <v>13</v>
      </c>
      <c r="AM17" s="1">
        <v>17</v>
      </c>
      <c r="AN17" s="1">
        <v>13</v>
      </c>
      <c r="AO17" s="1">
        <v>10</v>
      </c>
      <c r="AP17" s="1">
        <v>8.5</v>
      </c>
      <c r="AQ17" s="1">
        <v>9</v>
      </c>
      <c r="AR17" s="1">
        <v>11</v>
      </c>
      <c r="AS17" s="1">
        <v>11.5</v>
      </c>
      <c r="AT17" s="1">
        <v>11.5</v>
      </c>
      <c r="AU17" s="1">
        <v>10</v>
      </c>
      <c r="AV17" s="1">
        <v>11</v>
      </c>
      <c r="AW17" s="1">
        <v>10</v>
      </c>
      <c r="AX17" s="1">
        <v>9.5</v>
      </c>
      <c r="AY17" s="1">
        <v>9.5</v>
      </c>
      <c r="AZ17" s="1">
        <v>9.5</v>
      </c>
      <c r="BA17" s="1">
        <v>10.5</v>
      </c>
      <c r="BB17" s="1">
        <v>10</v>
      </c>
      <c r="BC17" s="1">
        <v>11</v>
      </c>
      <c r="BD17" s="1">
        <v>10</v>
      </c>
      <c r="BE17" s="1">
        <v>11</v>
      </c>
      <c r="BF17" s="1">
        <v>11.5</v>
      </c>
      <c r="BG17" s="1">
        <v>11</v>
      </c>
      <c r="BH17" s="1">
        <v>10.5</v>
      </c>
      <c r="BI17" s="1">
        <v>13</v>
      </c>
      <c r="BJ17" s="1">
        <v>12.5</v>
      </c>
      <c r="BK17" s="1">
        <v>11.5</v>
      </c>
      <c r="BL17" s="1">
        <v>10</v>
      </c>
      <c r="BM17" s="1">
        <v>9</v>
      </c>
      <c r="BN17" s="1">
        <v>13</v>
      </c>
      <c r="BO17" s="1">
        <v>12.5</v>
      </c>
      <c r="BP17" s="1">
        <v>12.5</v>
      </c>
      <c r="BQ17" s="1">
        <v>11</v>
      </c>
      <c r="BR17" s="1">
        <v>11</v>
      </c>
      <c r="BS17" s="1">
        <v>13</v>
      </c>
      <c r="BT17" s="1">
        <v>11</v>
      </c>
      <c r="BU17" s="1">
        <v>11</v>
      </c>
      <c r="BV17" s="1">
        <v>26</v>
      </c>
      <c r="BW17" s="1">
        <v>23</v>
      </c>
      <c r="BX17" s="1">
        <v>25</v>
      </c>
      <c r="BY17" s="1">
        <v>26</v>
      </c>
      <c r="BZ17" s="1">
        <v>26</v>
      </c>
      <c r="CA17" s="1">
        <v>26</v>
      </c>
      <c r="CB17" s="1">
        <v>24</v>
      </c>
      <c r="CC17" s="1">
        <v>26</v>
      </c>
      <c r="CD17" s="1">
        <v>24</v>
      </c>
      <c r="CE17" s="1">
        <v>24</v>
      </c>
      <c r="CF17" s="1">
        <v>24</v>
      </c>
      <c r="CG17" s="1">
        <v>23</v>
      </c>
      <c r="CH17" s="1">
        <v>23</v>
      </c>
      <c r="CI17" s="1">
        <v>24</v>
      </c>
      <c r="CJ17" s="1">
        <v>22</v>
      </c>
      <c r="CK17" s="1">
        <v>20</v>
      </c>
      <c r="CL17" s="1">
        <v>21</v>
      </c>
      <c r="CM17" s="1">
        <v>19</v>
      </c>
      <c r="CN17" s="1">
        <v>18</v>
      </c>
      <c r="CO17" s="1">
        <v>21</v>
      </c>
      <c r="CP17" s="1">
        <v>21</v>
      </c>
      <c r="CQ17" s="1">
        <v>21</v>
      </c>
      <c r="CR17" s="1">
        <v>21.5</v>
      </c>
      <c r="CS17" s="1">
        <v>22</v>
      </c>
    </row>
    <row r="18" spans="1:111" x14ac:dyDescent="0.35">
      <c r="A18" s="1" t="s">
        <v>30</v>
      </c>
      <c r="B18" s="1">
        <v>19</v>
      </c>
      <c r="C18" s="1">
        <v>20</v>
      </c>
      <c r="D18" s="1">
        <v>19</v>
      </c>
      <c r="E18" s="1">
        <v>17</v>
      </c>
      <c r="F18" s="1">
        <v>19</v>
      </c>
      <c r="G18" s="1">
        <v>20</v>
      </c>
      <c r="H18" s="1">
        <v>20</v>
      </c>
      <c r="I18" s="1">
        <v>18</v>
      </c>
      <c r="J18" s="1">
        <v>20</v>
      </c>
      <c r="K18" s="1">
        <v>20</v>
      </c>
      <c r="L18" s="1">
        <v>18</v>
      </c>
      <c r="M18" s="15">
        <v>16</v>
      </c>
      <c r="N18" s="1">
        <v>18</v>
      </c>
      <c r="O18" s="1">
        <v>16</v>
      </c>
      <c r="P18" s="1">
        <v>15</v>
      </c>
      <c r="Q18" s="1">
        <v>14</v>
      </c>
      <c r="R18" s="1">
        <v>17</v>
      </c>
      <c r="S18" s="1">
        <v>15</v>
      </c>
      <c r="T18" s="1">
        <v>15</v>
      </c>
      <c r="U18" s="1">
        <v>15</v>
      </c>
      <c r="V18" s="1">
        <v>14</v>
      </c>
      <c r="W18" s="1">
        <v>15</v>
      </c>
      <c r="X18" s="1">
        <v>15</v>
      </c>
      <c r="Y18" s="1">
        <v>14</v>
      </c>
      <c r="Z18" s="1">
        <v>15</v>
      </c>
      <c r="AA18" s="1">
        <v>14</v>
      </c>
      <c r="AB18" s="1">
        <v>16</v>
      </c>
      <c r="AC18" s="1">
        <v>15</v>
      </c>
      <c r="AD18" s="1">
        <v>14</v>
      </c>
      <c r="AE18" s="1">
        <v>14</v>
      </c>
      <c r="AF18" s="1">
        <v>14</v>
      </c>
      <c r="AH18" s="1">
        <v>18</v>
      </c>
      <c r="AI18" s="1">
        <v>18</v>
      </c>
      <c r="AJ18" s="1">
        <v>17</v>
      </c>
      <c r="AK18" s="1">
        <v>17</v>
      </c>
      <c r="AL18" s="1">
        <v>16</v>
      </c>
      <c r="AM18" s="1">
        <v>17</v>
      </c>
      <c r="AN18" s="1">
        <v>17</v>
      </c>
      <c r="AO18" s="1">
        <v>13</v>
      </c>
      <c r="AP18" s="1">
        <v>12</v>
      </c>
      <c r="AQ18" s="1">
        <v>13.5</v>
      </c>
      <c r="AR18" s="1">
        <v>13</v>
      </c>
      <c r="AS18" s="1">
        <v>13</v>
      </c>
      <c r="AT18" s="1">
        <v>13</v>
      </c>
      <c r="AU18" s="1">
        <v>13</v>
      </c>
      <c r="AV18" s="1">
        <v>12</v>
      </c>
      <c r="AW18" s="1">
        <v>12</v>
      </c>
      <c r="AX18" s="1">
        <v>12</v>
      </c>
      <c r="AY18" s="1">
        <v>12</v>
      </c>
      <c r="AZ18" s="1">
        <v>12</v>
      </c>
      <c r="BA18" s="1">
        <v>13</v>
      </c>
      <c r="BB18" s="1">
        <v>14</v>
      </c>
      <c r="BC18" s="1">
        <v>13.5</v>
      </c>
      <c r="BD18" s="1">
        <v>13</v>
      </c>
      <c r="BE18" s="1">
        <v>15</v>
      </c>
      <c r="BF18" s="1">
        <v>14</v>
      </c>
      <c r="BG18" s="1">
        <v>15</v>
      </c>
      <c r="BH18" s="1">
        <v>15</v>
      </c>
      <c r="BI18" s="1">
        <v>15</v>
      </c>
      <c r="BJ18" s="1">
        <v>16.5</v>
      </c>
      <c r="BK18" s="1">
        <v>16.5</v>
      </c>
      <c r="BL18" s="1">
        <v>16</v>
      </c>
      <c r="BM18" s="1">
        <v>16</v>
      </c>
      <c r="BN18" s="1">
        <v>16.5</v>
      </c>
      <c r="BO18" s="1">
        <v>16</v>
      </c>
      <c r="BP18" s="1">
        <v>14.5</v>
      </c>
      <c r="BQ18" s="1">
        <v>15</v>
      </c>
      <c r="BR18" s="1">
        <v>15</v>
      </c>
      <c r="BS18" s="1">
        <v>14.5</v>
      </c>
      <c r="BT18" s="1">
        <v>14</v>
      </c>
      <c r="BU18" s="1">
        <v>14</v>
      </c>
      <c r="BV18" s="1">
        <v>22</v>
      </c>
      <c r="BW18" s="1">
        <v>22</v>
      </c>
      <c r="BX18" s="1">
        <v>20</v>
      </c>
      <c r="BY18" s="1">
        <v>20</v>
      </c>
      <c r="BZ18" s="1">
        <v>19</v>
      </c>
      <c r="CA18" s="1">
        <v>17</v>
      </c>
      <c r="CB18" s="1">
        <v>17</v>
      </c>
      <c r="CC18" s="1">
        <v>17</v>
      </c>
      <c r="CD18" s="1">
        <v>16</v>
      </c>
      <c r="CE18" s="1">
        <v>16</v>
      </c>
      <c r="CF18" s="1">
        <v>16</v>
      </c>
      <c r="CG18" s="1">
        <v>17</v>
      </c>
      <c r="CH18" s="1">
        <v>16</v>
      </c>
      <c r="CI18" s="1">
        <v>15</v>
      </c>
      <c r="CJ18" s="1">
        <v>15</v>
      </c>
      <c r="CK18" s="1">
        <v>15</v>
      </c>
      <c r="CL18" s="1">
        <v>14.8</v>
      </c>
      <c r="CM18" s="1">
        <v>15</v>
      </c>
      <c r="CN18" s="1">
        <v>15</v>
      </c>
      <c r="CO18" s="1">
        <v>14</v>
      </c>
      <c r="CP18" s="1">
        <v>13</v>
      </c>
      <c r="CQ18" s="1">
        <v>15</v>
      </c>
      <c r="CR18" s="1">
        <v>14</v>
      </c>
      <c r="CS18" s="1">
        <v>15</v>
      </c>
      <c r="DF18" s="1" t="s">
        <v>31</v>
      </c>
      <c r="DG18" s="1">
        <v>0.53600000000000003</v>
      </c>
    </row>
    <row r="19" spans="1:111" x14ac:dyDescent="0.35">
      <c r="A19" s="1" t="s">
        <v>32</v>
      </c>
      <c r="B19" s="1">
        <v>8</v>
      </c>
      <c r="E19" s="1">
        <v>9</v>
      </c>
      <c r="G19" s="1">
        <v>10</v>
      </c>
      <c r="H19" s="1">
        <v>10</v>
      </c>
      <c r="I19" s="1">
        <v>9</v>
      </c>
      <c r="J19" s="1">
        <v>9</v>
      </c>
      <c r="K19" s="1">
        <v>9</v>
      </c>
      <c r="L19" s="1">
        <v>9</v>
      </c>
      <c r="M19" s="1">
        <v>9</v>
      </c>
      <c r="N19" s="1">
        <v>9</v>
      </c>
      <c r="O19" s="1">
        <v>7</v>
      </c>
      <c r="P19" s="1">
        <v>7</v>
      </c>
      <c r="Q19" s="1">
        <v>6</v>
      </c>
      <c r="R19" s="1">
        <v>7</v>
      </c>
      <c r="S19" s="1">
        <v>7</v>
      </c>
      <c r="T19" s="1">
        <v>7</v>
      </c>
      <c r="U19" s="1">
        <v>6</v>
      </c>
      <c r="V19" s="1">
        <v>6</v>
      </c>
      <c r="W19" s="1">
        <v>8</v>
      </c>
      <c r="X19" s="1">
        <v>7</v>
      </c>
      <c r="Y19" s="1">
        <v>7</v>
      </c>
      <c r="AH19" s="1">
        <v>8</v>
      </c>
      <c r="AI19" s="1">
        <v>8</v>
      </c>
      <c r="AJ19" s="1">
        <v>8</v>
      </c>
      <c r="AK19" s="1">
        <v>9</v>
      </c>
      <c r="AL19" s="1">
        <v>8</v>
      </c>
      <c r="AM19" s="1">
        <v>11</v>
      </c>
      <c r="AN19" s="1">
        <v>8.5</v>
      </c>
      <c r="AO19" s="1">
        <v>7</v>
      </c>
      <c r="AP19" s="1">
        <v>7</v>
      </c>
      <c r="AQ19" s="1">
        <v>8</v>
      </c>
      <c r="AR19" s="1">
        <v>8</v>
      </c>
      <c r="AS19" s="1">
        <v>8</v>
      </c>
      <c r="AT19" s="1">
        <v>8.5</v>
      </c>
      <c r="AU19" s="1">
        <v>7.5</v>
      </c>
      <c r="AV19" s="1">
        <v>7.5</v>
      </c>
      <c r="AW19" s="1">
        <v>7.5</v>
      </c>
      <c r="AX19" s="1">
        <v>7</v>
      </c>
      <c r="AY19" s="1">
        <v>7</v>
      </c>
      <c r="AZ19" s="1">
        <v>7</v>
      </c>
      <c r="BA19" s="1">
        <v>9</v>
      </c>
      <c r="BB19" s="1">
        <v>10</v>
      </c>
      <c r="BC19" s="1">
        <v>8</v>
      </c>
      <c r="BN19" s="1" t="s">
        <v>33</v>
      </c>
      <c r="DF19" s="1" t="s">
        <v>34</v>
      </c>
      <c r="DG19" s="1">
        <v>0.56999999999999995</v>
      </c>
    </row>
    <row r="20" spans="1:111" x14ac:dyDescent="0.35">
      <c r="A20" s="1" t="s">
        <v>35</v>
      </c>
      <c r="B20" s="1">
        <v>16</v>
      </c>
      <c r="C20" s="1">
        <v>13</v>
      </c>
      <c r="D20" s="1">
        <v>10</v>
      </c>
      <c r="E20" s="1">
        <v>8</v>
      </c>
      <c r="F20" s="1">
        <v>9</v>
      </c>
      <c r="G20" s="1">
        <v>12</v>
      </c>
      <c r="H20" s="1">
        <v>11</v>
      </c>
      <c r="I20" s="1">
        <v>11</v>
      </c>
      <c r="J20" s="1">
        <v>9</v>
      </c>
      <c r="K20" s="1">
        <v>9</v>
      </c>
      <c r="L20" s="1">
        <v>8</v>
      </c>
      <c r="M20" s="1">
        <v>9</v>
      </c>
      <c r="N20" s="1">
        <v>9</v>
      </c>
      <c r="O20" s="1">
        <v>8</v>
      </c>
      <c r="P20" s="1">
        <v>8</v>
      </c>
      <c r="Q20" s="1">
        <v>7</v>
      </c>
      <c r="R20" s="1">
        <v>7</v>
      </c>
      <c r="S20" s="1">
        <v>7</v>
      </c>
      <c r="T20" s="1">
        <v>7</v>
      </c>
      <c r="U20" s="1">
        <v>8</v>
      </c>
      <c r="V20" s="1">
        <v>7</v>
      </c>
      <c r="W20" s="1">
        <v>7</v>
      </c>
      <c r="X20" s="1">
        <v>7</v>
      </c>
      <c r="Y20" s="1">
        <v>6</v>
      </c>
      <c r="Z20" s="1">
        <v>7</v>
      </c>
      <c r="AA20" s="1">
        <v>8</v>
      </c>
      <c r="AB20" s="1">
        <v>8</v>
      </c>
      <c r="AC20" s="1">
        <v>8</v>
      </c>
      <c r="AD20" s="1">
        <v>8</v>
      </c>
      <c r="DF20" s="1" t="s">
        <v>36</v>
      </c>
      <c r="DG20" s="1">
        <v>0.57699999999999996</v>
      </c>
    </row>
    <row r="21" spans="1:111" x14ac:dyDescent="0.35">
      <c r="A21" s="1" t="s">
        <v>37</v>
      </c>
      <c r="B21" s="1">
        <v>8</v>
      </c>
      <c r="D21" s="1">
        <v>9</v>
      </c>
      <c r="E21" s="1">
        <v>8</v>
      </c>
      <c r="F21" s="1">
        <v>10</v>
      </c>
      <c r="G21" s="1">
        <v>13</v>
      </c>
      <c r="H21" s="1">
        <v>13</v>
      </c>
      <c r="I21" s="1">
        <v>10</v>
      </c>
      <c r="J21" s="1">
        <v>10</v>
      </c>
      <c r="K21" s="1">
        <v>12</v>
      </c>
      <c r="L21" s="1">
        <v>10</v>
      </c>
      <c r="M21" s="15">
        <v>14</v>
      </c>
      <c r="N21" s="1">
        <v>12</v>
      </c>
      <c r="O21" s="1">
        <v>8</v>
      </c>
      <c r="P21" s="1">
        <v>10</v>
      </c>
      <c r="Q21" s="1">
        <v>9</v>
      </c>
      <c r="R21" s="1">
        <v>14</v>
      </c>
      <c r="S21" s="1">
        <v>8</v>
      </c>
      <c r="T21" s="1">
        <v>10</v>
      </c>
      <c r="U21" s="1">
        <v>10</v>
      </c>
      <c r="V21" s="1">
        <v>10</v>
      </c>
      <c r="W21" s="1">
        <v>11</v>
      </c>
      <c r="Y21" s="1">
        <v>12</v>
      </c>
      <c r="Z21" s="1">
        <v>12</v>
      </c>
      <c r="AB21" s="1">
        <v>12</v>
      </c>
      <c r="AD21" s="1">
        <v>12</v>
      </c>
      <c r="AH21" s="1">
        <v>12</v>
      </c>
      <c r="AI21" s="1">
        <v>12</v>
      </c>
      <c r="AJ21" s="1">
        <v>12</v>
      </c>
      <c r="AK21" s="1">
        <v>10</v>
      </c>
      <c r="AL21" s="1">
        <v>10</v>
      </c>
      <c r="AM21" s="1">
        <v>15</v>
      </c>
      <c r="AN21" s="1">
        <v>14</v>
      </c>
      <c r="DF21" s="1" t="s">
        <v>38</v>
      </c>
      <c r="DG21" s="1">
        <v>0.58199999999999996</v>
      </c>
    </row>
    <row r="22" spans="1:111" x14ac:dyDescent="0.35">
      <c r="A22" s="1" t="s">
        <v>39</v>
      </c>
      <c r="B22" s="1">
        <v>15</v>
      </c>
      <c r="C22" s="1">
        <v>22</v>
      </c>
      <c r="E22" s="1">
        <v>17</v>
      </c>
      <c r="G22" s="1">
        <v>18</v>
      </c>
    </row>
    <row r="23" spans="1:111" x14ac:dyDescent="0.35">
      <c r="A23" s="1" t="s">
        <v>40</v>
      </c>
      <c r="B23" s="1">
        <v>18</v>
      </c>
    </row>
    <row r="24" spans="1:111" x14ac:dyDescent="0.35">
      <c r="A24" s="1" t="s">
        <v>41</v>
      </c>
      <c r="B24" s="1">
        <v>17</v>
      </c>
    </row>
    <row r="25" spans="1:111" x14ac:dyDescent="0.35">
      <c r="A25" s="1" t="s">
        <v>42</v>
      </c>
      <c r="B25" s="1">
        <v>21</v>
      </c>
      <c r="T25" s="1">
        <v>16</v>
      </c>
    </row>
    <row r="26" spans="1:111" x14ac:dyDescent="0.35">
      <c r="A26" s="1" t="s">
        <v>43</v>
      </c>
      <c r="B26" s="1" t="s">
        <v>44</v>
      </c>
      <c r="C26" s="1" t="s">
        <v>44</v>
      </c>
      <c r="D26" s="1" t="s">
        <v>44</v>
      </c>
      <c r="E26" s="1" t="s">
        <v>44</v>
      </c>
      <c r="F26" s="1" t="s">
        <v>44</v>
      </c>
      <c r="G26" s="1" t="s">
        <v>44</v>
      </c>
      <c r="H26" s="1" t="s">
        <v>44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44</v>
      </c>
      <c r="U26" s="1" t="s">
        <v>44</v>
      </c>
      <c r="V26" s="1" t="s">
        <v>44</v>
      </c>
      <c r="W26" s="1" t="s">
        <v>44</v>
      </c>
      <c r="X26" s="1" t="s">
        <v>44</v>
      </c>
      <c r="Y26" s="1" t="s">
        <v>44</v>
      </c>
      <c r="Z26" s="1" t="s">
        <v>44</v>
      </c>
      <c r="AA26" s="1" t="s">
        <v>44</v>
      </c>
      <c r="AB26" s="1" t="s">
        <v>44</v>
      </c>
      <c r="AC26" s="1" t="s">
        <v>44</v>
      </c>
      <c r="AD26" s="1" t="s">
        <v>44</v>
      </c>
      <c r="AE26" s="1" t="s">
        <v>44</v>
      </c>
      <c r="AF26" s="1" t="s">
        <v>44</v>
      </c>
      <c r="AG26" s="1" t="s">
        <v>44</v>
      </c>
      <c r="AH26" s="1" t="s">
        <v>44</v>
      </c>
      <c r="AI26" s="1" t="s">
        <v>44</v>
      </c>
      <c r="AJ26" s="1" t="s">
        <v>44</v>
      </c>
      <c r="AK26" s="1" t="s">
        <v>44</v>
      </c>
      <c r="AL26" s="1" t="s">
        <v>44</v>
      </c>
      <c r="AM26" s="1" t="s">
        <v>44</v>
      </c>
    </row>
    <row r="27" spans="1:111" x14ac:dyDescent="0.35">
      <c r="A27" s="1" t="s">
        <v>45</v>
      </c>
      <c r="B27" s="16">
        <f>B9/(POWER(Magasság/100,2))</f>
        <v>24.447278911564631</v>
      </c>
      <c r="C27" s="16"/>
      <c r="D27" s="16">
        <f>D9/(POWER(Magasság/100,2))</f>
        <v>24.801587301587304</v>
      </c>
      <c r="E27" s="16"/>
      <c r="F27" s="16">
        <f t="shared" ref="F27:U27" si="3">F9/(POWER(Magasság/100,2))</f>
        <v>25.368480725623584</v>
      </c>
      <c r="G27" s="16">
        <f t="shared" si="3"/>
        <v>25.864512471655331</v>
      </c>
      <c r="H27" s="16">
        <f t="shared" si="3"/>
        <v>25.581065759637195</v>
      </c>
      <c r="I27" s="16">
        <f t="shared" si="3"/>
        <v>25.262188208616784</v>
      </c>
      <c r="J27" s="16">
        <f t="shared" si="3"/>
        <v>25.474773242630391</v>
      </c>
      <c r="K27" s="16">
        <f t="shared" si="3"/>
        <v>25.120464852607714</v>
      </c>
      <c r="L27" s="16">
        <f t="shared" si="3"/>
        <v>24.376417233560094</v>
      </c>
      <c r="M27" s="16">
        <f t="shared" si="3"/>
        <v>24.482709750566894</v>
      </c>
      <c r="N27" s="16">
        <f t="shared" si="3"/>
        <v>24.801587301587304</v>
      </c>
      <c r="O27" s="16">
        <f t="shared" si="3"/>
        <v>24.447278911564631</v>
      </c>
      <c r="P27" s="16">
        <f t="shared" si="3"/>
        <v>24.589002267573701</v>
      </c>
      <c r="Q27" s="16">
        <f t="shared" si="3"/>
        <v>24.659863945578234</v>
      </c>
      <c r="R27" s="16">
        <f t="shared" si="3"/>
        <v>24.695294784580504</v>
      </c>
      <c r="S27" s="16">
        <f t="shared" si="3"/>
        <v>24.766156462585041</v>
      </c>
      <c r="T27" s="16">
        <f t="shared" si="3"/>
        <v>24.943310657596378</v>
      </c>
      <c r="U27" s="16">
        <f t="shared" si="3"/>
        <v>24.589002267573701</v>
      </c>
      <c r="AG27" s="16">
        <f t="shared" ref="AG27:AL27" si="4">AG9/(POWER(Magasság/100,2))</f>
        <v>25.155895691609981</v>
      </c>
      <c r="AH27" s="16">
        <f t="shared" si="4"/>
        <v>25.864512471655331</v>
      </c>
      <c r="AI27" s="16">
        <f t="shared" si="4"/>
        <v>25.758219954648531</v>
      </c>
      <c r="AJ27" s="16">
        <f t="shared" si="4"/>
        <v>26.112528344671208</v>
      </c>
      <c r="AK27" s="16">
        <f t="shared" si="4"/>
        <v>26.006235827664405</v>
      </c>
      <c r="AL27" s="16">
        <f t="shared" si="4"/>
        <v>25.864512471655331</v>
      </c>
      <c r="AM27" s="16">
        <f t="shared" ref="AM27:AZ27" si="5">AM9/(POWER(Magasság/100,2))</f>
        <v>27.104591836734699</v>
      </c>
      <c r="AN27" s="16">
        <f t="shared" si="5"/>
        <v>26.573129251700685</v>
      </c>
      <c r="AO27" s="16">
        <f t="shared" si="5"/>
        <v>25.226757369614518</v>
      </c>
      <c r="AP27" s="16">
        <f t="shared" si="5"/>
        <v>25.085034013605444</v>
      </c>
      <c r="AQ27" s="16">
        <f t="shared" si="5"/>
        <v>26.041666666666671</v>
      </c>
      <c r="AR27" s="16">
        <f t="shared" si="5"/>
        <v>25.191326530612248</v>
      </c>
      <c r="AS27" s="16">
        <f t="shared" si="5"/>
        <v>26.112528344671208</v>
      </c>
      <c r="AT27" s="16">
        <f t="shared" si="5"/>
        <v>25.581065759637195</v>
      </c>
      <c r="AU27" s="16">
        <f t="shared" si="5"/>
        <v>25.403911564625854</v>
      </c>
      <c r="AV27" s="16">
        <f t="shared" si="5"/>
        <v>24.978741496598644</v>
      </c>
      <c r="AW27" s="16">
        <f t="shared" si="5"/>
        <v>24.837018140589571</v>
      </c>
      <c r="AX27" s="16">
        <f t="shared" si="5"/>
        <v>25.155895691609981</v>
      </c>
      <c r="AY27" s="16">
        <f t="shared" si="5"/>
        <v>25.368480725623584</v>
      </c>
      <c r="AZ27" s="16">
        <f t="shared" si="5"/>
        <v>24.907879818594107</v>
      </c>
      <c r="BA27" s="16">
        <f t="shared" ref="BA27:BI27" si="6">BA9/(POWER(Magasság/100,2))</f>
        <v>25.687358276643995</v>
      </c>
      <c r="BB27" s="16">
        <f t="shared" si="6"/>
        <v>26.714852607709755</v>
      </c>
      <c r="BC27" s="16">
        <f t="shared" si="6"/>
        <v>26.254251700680275</v>
      </c>
      <c r="BD27" s="16">
        <f t="shared" si="6"/>
        <v>26.785714285714288</v>
      </c>
      <c r="BE27" s="16">
        <f t="shared" si="6"/>
        <v>26.750283446712022</v>
      </c>
      <c r="BF27" s="16">
        <f t="shared" si="6"/>
        <v>27.069160997732432</v>
      </c>
      <c r="BG27" s="16">
        <f t="shared" si="6"/>
        <v>27.600623582766445</v>
      </c>
      <c r="BH27" s="16">
        <f t="shared" si="6"/>
        <v>26.750283446712022</v>
      </c>
      <c r="BI27" s="16">
        <f t="shared" si="6"/>
        <v>27.813208616780049</v>
      </c>
      <c r="BJ27" s="16">
        <f t="shared" ref="BJ27:BW27" si="7">BJ9/(POWER(Magasság/100,2))</f>
        <v>28.592687074829936</v>
      </c>
      <c r="BK27" s="16">
        <f t="shared" si="7"/>
        <v>28.061224489795922</v>
      </c>
      <c r="BL27" s="16">
        <f t="shared" si="7"/>
        <v>28.309240362811799</v>
      </c>
      <c r="BM27" s="16">
        <f t="shared" si="7"/>
        <v>28.132086167800459</v>
      </c>
      <c r="BN27" s="16">
        <f t="shared" si="7"/>
        <v>27.281746031746035</v>
      </c>
      <c r="BO27" s="16">
        <f t="shared" si="7"/>
        <v>26.927437641723358</v>
      </c>
      <c r="BP27" s="16">
        <f t="shared" si="7"/>
        <v>25.864512471655331</v>
      </c>
      <c r="BQ27" s="16">
        <f t="shared" si="7"/>
        <v>26.006235827664405</v>
      </c>
      <c r="BR27" s="16">
        <f t="shared" si="7"/>
        <v>25.793650793650798</v>
      </c>
      <c r="BS27" s="16">
        <f t="shared" si="7"/>
        <v>26.147959183673471</v>
      </c>
      <c r="BT27" s="16">
        <f t="shared" si="7"/>
        <v>25.970804988662135</v>
      </c>
      <c r="BU27" s="16">
        <f t="shared" si="7"/>
        <v>26.147959183673471</v>
      </c>
      <c r="BV27" s="16">
        <f t="shared" si="7"/>
        <v>30.470521541950117</v>
      </c>
      <c r="BW27" s="16">
        <f t="shared" si="7"/>
        <v>30.257936507936513</v>
      </c>
      <c r="BX27" s="16">
        <f t="shared" ref="BX27:BY27" si="8">BX9/(POWER(Magasság/100,2))</f>
        <v>30.647675736961457</v>
      </c>
      <c r="BY27" s="16">
        <f t="shared" si="8"/>
        <v>30.89569160997733</v>
      </c>
      <c r="BZ27" s="16">
        <f t="shared" ref="BZ27:CE27" si="9">BZ9/(POWER(Magasság/100,2))</f>
        <v>30.399659863945583</v>
      </c>
      <c r="CA27" s="16">
        <f t="shared" si="9"/>
        <v>30.222505668934243</v>
      </c>
      <c r="CB27" s="16">
        <f t="shared" si="9"/>
        <v>30.00992063492064</v>
      </c>
      <c r="CC27" s="16">
        <f t="shared" si="9"/>
        <v>29.513888888888893</v>
      </c>
      <c r="CD27" s="16">
        <f t="shared" si="9"/>
        <v>29.620181405895693</v>
      </c>
      <c r="CE27" s="16">
        <f t="shared" si="9"/>
        <v>29.761904761904766</v>
      </c>
      <c r="CF27" s="16">
        <f t="shared" ref="CF27:CG27" si="10">CF9/(POWER(Magasság/100,2))</f>
        <v>29.407596371882089</v>
      </c>
      <c r="CG27" s="16">
        <f t="shared" si="10"/>
        <v>29.443027210884356</v>
      </c>
      <c r="CH27" s="16">
        <f t="shared" ref="CH27:CI27" si="11">CH9/(POWER(Magasság/100,2))</f>
        <v>29.159580498866216</v>
      </c>
      <c r="CI27" s="16">
        <f t="shared" si="11"/>
        <v>29.088718820861679</v>
      </c>
      <c r="CJ27" s="16">
        <f t="shared" ref="CJ27:CK27" si="12">CJ9/(POWER(Magasság/100,2))</f>
        <v>28.769841269841276</v>
      </c>
      <c r="CK27" s="16">
        <f t="shared" si="12"/>
        <v>29.088718820861679</v>
      </c>
      <c r="CL27" s="16">
        <f t="shared" ref="CL27:CM27" si="13">CL9/(POWER(Magasság/100,2))</f>
        <v>28.663548752834473</v>
      </c>
      <c r="CM27" s="16">
        <f t="shared" si="13"/>
        <v>28.415532879818599</v>
      </c>
      <c r="CN27" s="16">
        <f t="shared" ref="CN27:CO27" si="14">CN9/(POWER(Magasság/100,2))</f>
        <v>28.769841269841276</v>
      </c>
      <c r="CO27" s="16">
        <f t="shared" si="14"/>
        <v>28.982426303854879</v>
      </c>
      <c r="CP27" s="16">
        <f t="shared" ref="CP27:CQ27" si="15">CP9/(POWER(Magasság/100,2))</f>
        <v>28.840702947845813</v>
      </c>
      <c r="CQ27" s="16">
        <f t="shared" si="15"/>
        <v>28.698979591836739</v>
      </c>
      <c r="CR27" s="16">
        <f t="shared" ref="CR27:CS27" si="16">CR9/(POWER(Magasság/100,2))</f>
        <v>28.982426303854879</v>
      </c>
      <c r="CS27" s="16">
        <f t="shared" si="16"/>
        <v>29.265873015873019</v>
      </c>
      <c r="CT27" s="16"/>
    </row>
    <row r="28" spans="1:111" x14ac:dyDescent="0.35">
      <c r="A28" s="1" t="s">
        <v>46</v>
      </c>
      <c r="B28" s="17">
        <v>0.21659999999999999</v>
      </c>
      <c r="D28" s="18">
        <v>0.19420000000000001</v>
      </c>
      <c r="E28" s="18">
        <v>0.19040000000000001</v>
      </c>
      <c r="G28" s="18">
        <v>0.29199999999999998</v>
      </c>
      <c r="K28" s="18">
        <f>((86.01*LOG10(K11-K13))-(70.041*LOG10(168))+30.3)/100</f>
        <v>0.22030560184667952</v>
      </c>
      <c r="L28" s="18">
        <f>((86.01*LOG10(L11-L13))-(70.041*LOG10(168))+30.3)/100</f>
        <v>0.21305223444822349</v>
      </c>
      <c r="M28" s="18">
        <f>((86.01*LOG10(M11-M13))-(70.041*LOG10(168))+30.3)/100</f>
        <v>0.20937204030624929</v>
      </c>
      <c r="O28" s="18">
        <f t="shared" ref="O28:BZ28" si="17">((86.01*LOG10(O11-O13))-(70.041*LOG10(168))+30.3)/100</f>
        <v>0.21305223444822349</v>
      </c>
      <c r="P28" s="18">
        <f t="shared" si="17"/>
        <v>0.21305223444822349</v>
      </c>
      <c r="Q28" s="18">
        <f t="shared" si="17"/>
        <v>0.21305223444822349</v>
      </c>
      <c r="R28" s="18">
        <f t="shared" si="17"/>
        <v>0.223880142845852</v>
      </c>
      <c r="S28" s="18">
        <f t="shared" si="17"/>
        <v>0.22742080143002727</v>
      </c>
      <c r="T28" s="18">
        <f t="shared" si="17"/>
        <v>0.22030560184667952</v>
      </c>
      <c r="U28" s="18">
        <f t="shared" si="17"/>
        <v>0.20937204030624929</v>
      </c>
      <c r="V28" s="18">
        <f t="shared" si="17"/>
        <v>0.22030560184667952</v>
      </c>
      <c r="W28" s="18">
        <f t="shared" si="17"/>
        <v>0.22030560184667952</v>
      </c>
      <c r="X28" s="18">
        <f t="shared" si="17"/>
        <v>0.21669652368471692</v>
      </c>
      <c r="Y28" s="18">
        <f t="shared" si="17"/>
        <v>0.21669652368471692</v>
      </c>
      <c r="Z28" s="18">
        <f t="shared" si="17"/>
        <v>0.22030560184667952</v>
      </c>
      <c r="AA28" s="18">
        <f t="shared" si="17"/>
        <v>0.22173952561863433</v>
      </c>
      <c r="AB28" s="18">
        <f t="shared" si="17"/>
        <v>0.23440299881012397</v>
      </c>
      <c r="AC28" s="18">
        <f t="shared" si="17"/>
        <v>0.223880142845852</v>
      </c>
      <c r="AD28" s="18">
        <f t="shared" si="17"/>
        <v>0.22742080143002727</v>
      </c>
      <c r="AE28" s="18">
        <f t="shared" si="17"/>
        <v>0.21669652368471692</v>
      </c>
      <c r="AF28" s="18">
        <f t="shared" si="17"/>
        <v>0.23092821390284729</v>
      </c>
      <c r="AG28" s="18">
        <f t="shared" si="17"/>
        <v>0.23784575759452894</v>
      </c>
      <c r="AH28" s="18">
        <f t="shared" si="17"/>
        <v>0.25328612953143581</v>
      </c>
      <c r="AI28" s="18">
        <f t="shared" si="17"/>
        <v>0.23784575759452894</v>
      </c>
      <c r="AJ28" s="18">
        <f t="shared" si="17"/>
        <v>0.24463752077020262</v>
      </c>
      <c r="AK28" s="18">
        <f t="shared" si="17"/>
        <v>0.24125707522038783</v>
      </c>
      <c r="AL28" s="18">
        <f t="shared" si="17"/>
        <v>0.2479876480144215</v>
      </c>
      <c r="AM28" s="18">
        <f t="shared" si="17"/>
        <v>0.26937546774899079</v>
      </c>
      <c r="AN28" s="18">
        <f t="shared" si="17"/>
        <v>0.26238138508375775</v>
      </c>
      <c r="AO28" s="18">
        <f t="shared" si="17"/>
        <v>0.22173952561863433</v>
      </c>
      <c r="AP28" s="18">
        <f t="shared" si="17"/>
        <v>0.21814434210148836</v>
      </c>
      <c r="AQ28" s="18">
        <f t="shared" si="17"/>
        <v>0.23092821390284729</v>
      </c>
      <c r="AR28" s="18">
        <f t="shared" si="17"/>
        <v>0.223880142845852</v>
      </c>
      <c r="AS28" s="18">
        <f t="shared" si="17"/>
        <v>0.24057729944791265</v>
      </c>
      <c r="AT28" s="18">
        <f t="shared" si="17"/>
        <v>0.23022936115664994</v>
      </c>
      <c r="AU28" s="18">
        <f t="shared" si="17"/>
        <v>0.21158450492178749</v>
      </c>
      <c r="AV28" s="18">
        <f t="shared" si="17"/>
        <v>0.20863163038318494</v>
      </c>
      <c r="AW28" s="18">
        <f t="shared" si="17"/>
        <v>0.20937204030624929</v>
      </c>
      <c r="AX28" s="18">
        <f t="shared" si="17"/>
        <v>0.21524307171906162</v>
      </c>
      <c r="AY28" s="18">
        <f t="shared" si="17"/>
        <v>0.20114567475561718</v>
      </c>
      <c r="AZ28" s="18">
        <f t="shared" si="17"/>
        <v>0.20038876125673416</v>
      </c>
      <c r="BA28" s="18">
        <f t="shared" si="17"/>
        <v>0.22812492356856001</v>
      </c>
      <c r="BB28" s="18">
        <f t="shared" si="17"/>
        <v>0.23092821390284729</v>
      </c>
      <c r="BC28" s="18">
        <f t="shared" si="17"/>
        <v>0.22742080143002727</v>
      </c>
      <c r="BD28" s="18">
        <f t="shared" si="17"/>
        <v>0.22882772092335973</v>
      </c>
      <c r="BE28" s="18">
        <f t="shared" si="17"/>
        <v>0.23921402536577252</v>
      </c>
      <c r="BF28" s="18">
        <f t="shared" si="17"/>
        <v>0.24057729944791265</v>
      </c>
      <c r="BG28" s="18">
        <f t="shared" si="17"/>
        <v>0.2459811793553128</v>
      </c>
      <c r="BH28" s="18">
        <f t="shared" si="17"/>
        <v>0.24665120049259986</v>
      </c>
      <c r="BI28" s="18">
        <f t="shared" si="17"/>
        <v>0.25786143920393972</v>
      </c>
      <c r="BJ28" s="18">
        <f t="shared" si="17"/>
        <v>0.27063316820951416</v>
      </c>
      <c r="BK28" s="18">
        <f t="shared" si="17"/>
        <v>0.26684729103277466</v>
      </c>
      <c r="BL28" s="18">
        <f t="shared" si="17"/>
        <v>0.26621256414447531</v>
      </c>
      <c r="BM28" s="18">
        <f t="shared" si="17"/>
        <v>0.27126043398896615</v>
      </c>
      <c r="BN28" s="18">
        <f t="shared" si="17"/>
        <v>0.26109554324987089</v>
      </c>
      <c r="BO28" s="18">
        <f t="shared" si="17"/>
        <v>0.26109554324987089</v>
      </c>
      <c r="BP28" s="18">
        <f t="shared" si="17"/>
        <v>0.24193561615880912</v>
      </c>
      <c r="BQ28" s="18">
        <f t="shared" si="17"/>
        <v>0.24998339639803152</v>
      </c>
      <c r="BR28" s="18">
        <f t="shared" si="17"/>
        <v>0.24125707522038783</v>
      </c>
      <c r="BS28" s="18">
        <f t="shared" si="17"/>
        <v>0.23509409370454892</v>
      </c>
      <c r="BT28" s="18">
        <f t="shared" si="17"/>
        <v>0.23371062292350264</v>
      </c>
      <c r="BU28" s="18">
        <f t="shared" si="17"/>
        <v>0.23921402536577252</v>
      </c>
      <c r="BV28" s="18">
        <f t="shared" si="17"/>
        <v>0.30936086494594994</v>
      </c>
      <c r="BW28" s="18">
        <f t="shared" si="17"/>
        <v>0.2984497171755236</v>
      </c>
      <c r="BX28" s="18">
        <f t="shared" si="17"/>
        <v>0.30537795320107952</v>
      </c>
      <c r="BY28" s="18">
        <f t="shared" si="17"/>
        <v>0.30709011823339399</v>
      </c>
      <c r="BZ28" s="18">
        <f t="shared" si="17"/>
        <v>0.32051204180502241</v>
      </c>
      <c r="CA28" s="18">
        <f t="shared" ref="CA28:CS28" si="18">((86.01*LOG10(CA11-CA13))-(70.041*LOG10(168))+30.3)/100</f>
        <v>0.30365790403490867</v>
      </c>
      <c r="CB28" s="18">
        <f t="shared" si="18"/>
        <v>0.30077343654418248</v>
      </c>
      <c r="CC28" s="18">
        <f t="shared" si="18"/>
        <v>0.3013521147139604</v>
      </c>
      <c r="CD28" s="18">
        <f t="shared" si="18"/>
        <v>0.29552459115558938</v>
      </c>
      <c r="CE28" s="18">
        <f t="shared" si="18"/>
        <v>0.30365790403490867</v>
      </c>
      <c r="CF28" s="18">
        <f t="shared" si="18"/>
        <v>0.29257637787226842</v>
      </c>
      <c r="CG28" s="18">
        <f t="shared" si="18"/>
        <v>0.29786652160992977</v>
      </c>
      <c r="CH28" s="18">
        <f t="shared" si="18"/>
        <v>0.29020093785488787</v>
      </c>
      <c r="CI28" s="18">
        <f t="shared" si="18"/>
        <v>0.27063316820951416</v>
      </c>
      <c r="CJ28" s="18">
        <f t="shared" si="18"/>
        <v>0.28840939157224132</v>
      </c>
      <c r="CK28" s="18">
        <f t="shared" si="18"/>
        <v>0.29020093785488787</v>
      </c>
      <c r="CL28" s="18">
        <f t="shared" si="18"/>
        <v>0.28237474200490698</v>
      </c>
      <c r="CM28" s="18">
        <f t="shared" si="18"/>
        <v>0.27993331707914954</v>
      </c>
      <c r="CN28" s="18">
        <f t="shared" si="18"/>
        <v>0.29020093785488787</v>
      </c>
      <c r="CO28" s="18">
        <f t="shared" si="18"/>
        <v>0.29961338379851205</v>
      </c>
      <c r="CP28" s="18">
        <f t="shared" si="18"/>
        <v>0.29493680711001691</v>
      </c>
      <c r="CQ28" s="18">
        <f t="shared" si="18"/>
        <v>0.29049869529104899</v>
      </c>
      <c r="CR28" s="18">
        <f t="shared" si="18"/>
        <v>0.28540425320859231</v>
      </c>
      <c r="CS28" s="18">
        <f t="shared" si="18"/>
        <v>0.28781029491794036</v>
      </c>
      <c r="CT28" s="18"/>
    </row>
    <row r="29" spans="1:111" x14ac:dyDescent="0.35">
      <c r="A29" s="1" t="s">
        <v>47</v>
      </c>
      <c r="B29" s="18">
        <f>((495/(1.10938-0.0008267*(B17+B16+B18)+0.0000016*POWER(B17+B16+B18,2)-0.0002575*B8))-450)/100</f>
        <v>0.18421971545494331</v>
      </c>
      <c r="C29" s="18">
        <f>((495/(1.10938-0.0008267*(C17+C16+C18)+0.0000016*POWER(C17+C16+C18,2)-0.0002575*C8))-450)/100</f>
        <v>0.19779421953029611</v>
      </c>
      <c r="D29" s="18">
        <f>((495/(1.10938-0.0008267*(D17+D16+D18)+0.0000016*POWER(D17+D16+D18,2)-0.0002575*D8))-450)/100</f>
        <v>0.18968274533080545</v>
      </c>
      <c r="E29" s="18">
        <f>((495/(1.10938-0.0008267*(E17+E16+E18)+0.0000016*POWER(E17+E16+E18,2)-0.0002575*E8))-450)/100</f>
        <v>0.17594298183467061</v>
      </c>
      <c r="G29" s="18">
        <f t="shared" ref="G29:V29" si="19">((495/(1.10938-0.0008267*(G17+G16+G18)+0.0000016*POWER(G17+G16+G18,2)-0.0002575*G8))-450)/100</f>
        <v>0.2189291405600261</v>
      </c>
      <c r="H29" s="18">
        <f t="shared" si="19"/>
        <v>0.20580495740866239</v>
      </c>
      <c r="I29" s="18">
        <f t="shared" si="19"/>
        <v>0.18695673910524022</v>
      </c>
      <c r="J29" s="18">
        <f t="shared" si="19"/>
        <v>0.18695673910524022</v>
      </c>
      <c r="K29" s="18">
        <f t="shared" si="19"/>
        <v>0.17316233083742474</v>
      </c>
      <c r="L29" s="18">
        <f t="shared" si="19"/>
        <v>0.1647557816585197</v>
      </c>
      <c r="M29" s="18">
        <f t="shared" si="19"/>
        <v>0.15053223227520107</v>
      </c>
      <c r="N29" s="18">
        <f t="shared" si="19"/>
        <v>0.17316233083742474</v>
      </c>
      <c r="O29" s="18">
        <f t="shared" si="19"/>
        <v>0.16193221550558634</v>
      </c>
      <c r="P29" s="18">
        <f t="shared" si="19"/>
        <v>0.15053223227520107</v>
      </c>
      <c r="Q29" s="18">
        <f t="shared" si="19"/>
        <v>0.14187250323524381</v>
      </c>
      <c r="R29" s="18">
        <f t="shared" si="19"/>
        <v>0.15625327760252788</v>
      </c>
      <c r="S29" s="18">
        <f t="shared" si="19"/>
        <v>0.15625327760252788</v>
      </c>
      <c r="T29" s="18">
        <f t="shared" si="19"/>
        <v>0.14765603214112333</v>
      </c>
      <c r="U29" s="18">
        <f t="shared" si="19"/>
        <v>0.14476944068249453</v>
      </c>
      <c r="V29" s="18">
        <f t="shared" si="19"/>
        <v>0.14765603214112333</v>
      </c>
      <c r="W29" s="18"/>
      <c r="X29" s="18">
        <f t="shared" ref="X29:AF29" si="20">((495/(1.10938-0.0008267*(X17+X16+X18)+0.0000016*POWER(X17+X16+X18,2)-0.0002575*X8))-450)/100</f>
        <v>0.15625327760252788</v>
      </c>
      <c r="Y29" s="18">
        <f t="shared" si="20"/>
        <v>0.15053223227520107</v>
      </c>
      <c r="Z29" s="18">
        <f t="shared" si="20"/>
        <v>0.15625327760252788</v>
      </c>
      <c r="AA29" s="18">
        <f t="shared" si="20"/>
        <v>0.15339799582378646</v>
      </c>
      <c r="AB29" s="18">
        <f t="shared" si="20"/>
        <v>0.15625327760252788</v>
      </c>
      <c r="AC29" s="18">
        <f t="shared" si="20"/>
        <v>0.1590980325052567</v>
      </c>
      <c r="AD29" s="18">
        <f t="shared" si="20"/>
        <v>0.15738138496409079</v>
      </c>
      <c r="AE29" s="18">
        <f t="shared" si="20"/>
        <v>0.15165756883889345</v>
      </c>
      <c r="AF29" s="18">
        <f t="shared" si="20"/>
        <v>0.15165756883889345</v>
      </c>
      <c r="AG29" s="18"/>
      <c r="AH29" s="18">
        <f t="shared" ref="AH29:CS29" si="21">((495/(1.10938-0.0008267*(AH17+AH16+AH18)+0.0000016*POWER(AH17+AH16+AH18,2)-0.0002575*AH8))-450)/100</f>
        <v>0.20009143814252353</v>
      </c>
      <c r="AI29" s="18">
        <f t="shared" si="21"/>
        <v>0.19739611471250157</v>
      </c>
      <c r="AJ29" s="18">
        <f t="shared" si="21"/>
        <v>0.20009143814252353</v>
      </c>
      <c r="AK29" s="18">
        <f t="shared" si="21"/>
        <v>0.19468963264575279</v>
      </c>
      <c r="AL29" s="18">
        <f t="shared" si="21"/>
        <v>0.18375299760191866</v>
      </c>
      <c r="AM29" s="18">
        <f t="shared" si="21"/>
        <v>0.210760271027645</v>
      </c>
      <c r="AN29" s="18">
        <f t="shared" si="21"/>
        <v>0.19604426576707509</v>
      </c>
      <c r="AO29" s="18">
        <f t="shared" si="21"/>
        <v>0.1481387162347943</v>
      </c>
      <c r="AP29" s="18">
        <f t="shared" si="21"/>
        <v>0.14086654260083492</v>
      </c>
      <c r="AQ29" s="18">
        <f t="shared" si="21"/>
        <v>0.14958540492323494</v>
      </c>
      <c r="AR29" s="18">
        <f t="shared" si="21"/>
        <v>0.15102949833244167</v>
      </c>
      <c r="AS29" s="18">
        <f t="shared" si="21"/>
        <v>0.15247099078599263</v>
      </c>
      <c r="AT29" s="18">
        <f t="shared" si="21"/>
        <v>0.14958540492323494</v>
      </c>
      <c r="AU29" s="18">
        <f t="shared" si="21"/>
        <v>0.1481387162347943</v>
      </c>
      <c r="AV29" s="18">
        <f t="shared" si="21"/>
        <v>0.1481387162347943</v>
      </c>
      <c r="AW29" s="18">
        <f t="shared" si="21"/>
        <v>0.14232612237846978</v>
      </c>
      <c r="AX29" s="18">
        <f t="shared" si="21"/>
        <v>0.13793970537839415</v>
      </c>
      <c r="AY29" s="18">
        <f t="shared" si="21"/>
        <v>0.13793970537839415</v>
      </c>
      <c r="AZ29" s="18">
        <f t="shared" si="21"/>
        <v>0.1350026693401736</v>
      </c>
      <c r="BA29" s="18">
        <f t="shared" si="21"/>
        <v>0.16504043671186877</v>
      </c>
      <c r="BB29" s="18">
        <f t="shared" si="21"/>
        <v>0.16928800809871461</v>
      </c>
      <c r="BC29" s="18">
        <f t="shared" si="21"/>
        <v>0.17069853316004868</v>
      </c>
      <c r="BD29" s="18">
        <f t="shared" si="21"/>
        <v>0.16928800809871461</v>
      </c>
      <c r="BE29" s="18">
        <f t="shared" si="21"/>
        <v>0.17771091538644612</v>
      </c>
      <c r="BF29" s="18">
        <f t="shared" si="21"/>
        <v>0.17351155148073588</v>
      </c>
      <c r="BG29" s="18">
        <f t="shared" si="21"/>
        <v>0.18049698367972156</v>
      </c>
      <c r="BH29" s="18">
        <f t="shared" si="21"/>
        <v>0.17910530402108576</v>
      </c>
      <c r="BI29" s="18">
        <f t="shared" si="21"/>
        <v>0.19426356250980917</v>
      </c>
      <c r="BJ29" s="18">
        <f t="shared" si="21"/>
        <v>0.19698381523754618</v>
      </c>
      <c r="BK29" s="18">
        <f t="shared" si="21"/>
        <v>0.19426356250980917</v>
      </c>
      <c r="BL29" s="18">
        <f t="shared" si="21"/>
        <v>0.18878986122602726</v>
      </c>
      <c r="BM29" s="18">
        <f t="shared" si="21"/>
        <v>0.18603650110031877</v>
      </c>
      <c r="BN29" s="18">
        <f t="shared" si="21"/>
        <v>0.20756935783190386</v>
      </c>
      <c r="BO29" s="18">
        <f t="shared" si="21"/>
        <v>0.19948836812544812</v>
      </c>
      <c r="BP29" s="18">
        <f t="shared" si="21"/>
        <v>0.17605120228833585</v>
      </c>
      <c r="BQ29" s="18">
        <f t="shared" si="21"/>
        <v>0.17042244112507887</v>
      </c>
      <c r="BR29" s="18">
        <f t="shared" si="21"/>
        <v>0.17042244112507887</v>
      </c>
      <c r="BS29" s="18">
        <f t="shared" si="21"/>
        <v>0.17464803795814249</v>
      </c>
      <c r="BT29" s="18">
        <f t="shared" si="21"/>
        <v>0.17110336557243896</v>
      </c>
      <c r="BU29" s="18">
        <f t="shared" si="21"/>
        <v>0.16543021769934171</v>
      </c>
      <c r="BV29" s="18">
        <f t="shared" si="21"/>
        <v>0.29227288111832705</v>
      </c>
      <c r="BW29" s="18">
        <f t="shared" si="21"/>
        <v>0.28330400781446996</v>
      </c>
      <c r="BX29" s="18">
        <f t="shared" si="21"/>
        <v>0.28105981704671024</v>
      </c>
      <c r="BY29" s="18">
        <f t="shared" si="21"/>
        <v>0.28389919290305216</v>
      </c>
      <c r="BZ29" s="18">
        <f t="shared" si="21"/>
        <v>0.28389919290305216</v>
      </c>
      <c r="CA29" s="18">
        <f t="shared" si="21"/>
        <v>0.27207531915904892</v>
      </c>
      <c r="CB29" s="18">
        <f t="shared" si="21"/>
        <v>0.26964976461778462</v>
      </c>
      <c r="CC29" s="18">
        <f t="shared" si="21"/>
        <v>0.27207531915904892</v>
      </c>
      <c r="CD29" s="18">
        <f t="shared" si="21"/>
        <v>0.26476201481667716</v>
      </c>
      <c r="CE29" s="18">
        <f t="shared" si="21"/>
        <v>0.26721198274847097</v>
      </c>
      <c r="CF29" s="18">
        <f t="shared" si="21"/>
        <v>0.26721198274847097</v>
      </c>
      <c r="CG29" s="18">
        <f t="shared" si="21"/>
        <v>0.26476201481667716</v>
      </c>
      <c r="CH29" s="18">
        <f t="shared" si="21"/>
        <v>0.2599435461079378</v>
      </c>
      <c r="CI29" s="18">
        <f t="shared" si="21"/>
        <v>0.25745714588324292</v>
      </c>
      <c r="CJ29" s="18">
        <f t="shared" si="21"/>
        <v>0.25004336213826778</v>
      </c>
      <c r="CK29" s="18">
        <f t="shared" si="21"/>
        <v>0.25004336213826778</v>
      </c>
      <c r="CL29" s="18">
        <f t="shared" si="21"/>
        <v>0.24965479221112388</v>
      </c>
      <c r="CM29" s="18">
        <f t="shared" si="21"/>
        <v>0.24762625880432892</v>
      </c>
      <c r="CN29" s="18">
        <f t="shared" si="21"/>
        <v>0.24252178566005056</v>
      </c>
      <c r="CO29" s="18">
        <f t="shared" si="21"/>
        <v>0.25086511334172484</v>
      </c>
      <c r="CP29" s="18">
        <f t="shared" si="21"/>
        <v>0.24589996189377814</v>
      </c>
      <c r="CQ29" s="18">
        <f t="shared" si="21"/>
        <v>0.25385864463744612</v>
      </c>
      <c r="CR29" s="18">
        <f t="shared" si="21"/>
        <v>0.25053797443298831</v>
      </c>
      <c r="CS29" s="18">
        <f t="shared" si="21"/>
        <v>0.25731220510070274</v>
      </c>
      <c r="CT29" s="18"/>
    </row>
    <row r="30" spans="1:111" x14ac:dyDescent="0.35">
      <c r="A30" s="19" t="s">
        <v>48</v>
      </c>
      <c r="B30" s="20">
        <f t="shared" ref="B30:G30" si="22">((495/(1.099075-0.0008209*(B17+B16+B18)+0.0000026*POWER(B17+B16+B18,2)-0.0002017*B8-0.00005675*B11+0.000018586*B15))-450)/100</f>
        <v>0.22431060239844897</v>
      </c>
      <c r="C30" s="20">
        <f t="shared" si="22"/>
        <v>0.23402865617719443</v>
      </c>
      <c r="D30" s="20">
        <f t="shared" si="22"/>
        <v>0.2278534288874465</v>
      </c>
      <c r="E30" s="20">
        <f t="shared" si="22"/>
        <v>0.21666191465360896</v>
      </c>
      <c r="F30" s="20">
        <f t="shared" si="22"/>
        <v>0.20404602753376822</v>
      </c>
      <c r="G30" s="20">
        <f t="shared" si="22"/>
        <v>0.25130005216006057</v>
      </c>
      <c r="H30" s="20"/>
      <c r="I30" s="20"/>
      <c r="J30" s="20"/>
      <c r="K30" s="20">
        <f>((495/(1.099075-0.0008209*(K17+K16+K18)+0.0000026*POWER(K17+K16+K18,2)-0.0002017*K8-0.00005675*K11+0.000018586*K15))-450)/100</f>
        <v>0.21543034233789909</v>
      </c>
      <c r="L30" s="20">
        <f>((495/(1.099075-0.0008209*(L17+L16+L18)+0.0000026*POWER(L17+L16+L18,2)-0.0002017*L8-0.00005675*L11+0.000018586*L15))-450)/100</f>
        <v>0.2082933034870797</v>
      </c>
      <c r="M30" s="20">
        <f>((495/(1.099075-0.0008209*(M17+M16+M18)+0.0000026*POWER(M17+M16+M18,2)-0.0002017*M8-0.00005675*M11+0.000018586*M15))-450)/100</f>
        <v>0.19640416883118689</v>
      </c>
      <c r="N30" s="20"/>
      <c r="O30" s="20">
        <f t="shared" ref="O30:V30" si="23">((495/(1.099075-0.0008209*(O17+O16+O18)+0.0000026*POWER(O17+O16+O18,2)-0.0002017*O8-0.00005675*O11+0.000018586*O15))-450)/100</f>
        <v>0.20595719192100431</v>
      </c>
      <c r="P30" s="20">
        <f t="shared" si="23"/>
        <v>0.19602489945106241</v>
      </c>
      <c r="Q30" s="20">
        <f t="shared" si="23"/>
        <v>0.18889624762476787</v>
      </c>
      <c r="R30" s="20">
        <f t="shared" si="23"/>
        <v>0.2013489586265598</v>
      </c>
      <c r="S30" s="20">
        <f t="shared" si="23"/>
        <v>0.20147566175886594</v>
      </c>
      <c r="T30" s="20">
        <f t="shared" si="23"/>
        <v>0.19396410419632332</v>
      </c>
      <c r="U30" s="20">
        <f t="shared" si="23"/>
        <v>0.19112497353388108</v>
      </c>
      <c r="V30" s="20">
        <f t="shared" si="23"/>
        <v>0.19396410419632332</v>
      </c>
      <c r="W30" s="20"/>
      <c r="X30" s="20">
        <f t="shared" ref="X30:AF30" si="24">((495/(1.099075-0.0008209*(X17+X16+X18)+0.0000026*POWER(X17+X16+X18,2)-0.0002017*X8-0.00005675*X11+0.000018586*X15))-450)/100</f>
        <v>0.20109557284847257</v>
      </c>
      <c r="Y30" s="20">
        <f t="shared" si="24"/>
        <v>0.19627773889770991</v>
      </c>
      <c r="Z30" s="20">
        <f t="shared" si="24"/>
        <v>0.20122226232327875</v>
      </c>
      <c r="AA30" s="20">
        <f t="shared" si="24"/>
        <v>0.19874764051319402</v>
      </c>
      <c r="AB30" s="20">
        <f t="shared" si="24"/>
        <v>0.20160237172075199</v>
      </c>
      <c r="AC30" s="20">
        <f t="shared" si="24"/>
        <v>0.20372698058850972</v>
      </c>
      <c r="AD30" s="20">
        <f t="shared" si="24"/>
        <v>0.202376511360672</v>
      </c>
      <c r="AE30" s="20">
        <f t="shared" si="24"/>
        <v>0.19717659746257424</v>
      </c>
      <c r="AF30" s="20">
        <f t="shared" si="24"/>
        <v>0.19768255167585722</v>
      </c>
      <c r="AG30" s="20"/>
      <c r="AH30" s="20">
        <f t="shared" ref="AH30:CS30" si="25">((495/(1.099075-0.0008209*(AH17+AH16+AH18)+0.0000026*POWER(AH17+AH16+AH18,2)-0.0002017*AH8-0.00005675*AH11+0.000018586*AH15))-450)/100</f>
        <v>0.23786223274253984</v>
      </c>
      <c r="AI30" s="20">
        <f t="shared" si="25"/>
        <v>0.235059561505916</v>
      </c>
      <c r="AJ30" s="20">
        <f t="shared" si="25"/>
        <v>0.23739904658858449</v>
      </c>
      <c r="AK30" s="20">
        <f t="shared" si="25"/>
        <v>0.23307566134133595</v>
      </c>
      <c r="AL30" s="20">
        <f t="shared" si="25"/>
        <v>0.22458013794508302</v>
      </c>
      <c r="AM30" s="20">
        <f t="shared" si="25"/>
        <v>0.24671717112365057</v>
      </c>
      <c r="AN30" s="20">
        <f t="shared" si="25"/>
        <v>0.23510786770196831</v>
      </c>
      <c r="AO30" s="20">
        <f t="shared" si="25"/>
        <v>0.19438202272508931</v>
      </c>
      <c r="AP30" s="20">
        <f t="shared" si="25"/>
        <v>0.18798974665309173</v>
      </c>
      <c r="AQ30" s="20">
        <f t="shared" si="25"/>
        <v>0.19597079490039845</v>
      </c>
      <c r="AR30" s="20">
        <f t="shared" si="25"/>
        <v>0.19687054584557701</v>
      </c>
      <c r="AS30" s="20">
        <f t="shared" si="25"/>
        <v>0.19871079825855531</v>
      </c>
      <c r="AT30" s="20">
        <f t="shared" si="25"/>
        <v>0.19589406628391204</v>
      </c>
      <c r="AU30" s="20">
        <f t="shared" si="25"/>
        <v>0.19400307986798965</v>
      </c>
      <c r="AV30" s="20">
        <f t="shared" si="25"/>
        <v>0.19387677917715279</v>
      </c>
      <c r="AW30" s="20">
        <f t="shared" si="25"/>
        <v>0.18889720167317989</v>
      </c>
      <c r="AX30" s="20">
        <f t="shared" si="25"/>
        <v>0.18535439963224121</v>
      </c>
      <c r="AY30" s="20">
        <f t="shared" si="25"/>
        <v>0.18483461569487816</v>
      </c>
      <c r="AZ30" s="20">
        <f t="shared" si="25"/>
        <v>0.18228811317653026</v>
      </c>
      <c r="BA30" s="20">
        <f t="shared" si="25"/>
        <v>0.20894405408497846</v>
      </c>
      <c r="BB30" s="20">
        <f t="shared" si="25"/>
        <v>0.21254790165707674</v>
      </c>
      <c r="BC30" s="20">
        <f t="shared" si="25"/>
        <v>0.21358282481487664</v>
      </c>
      <c r="BD30" s="20">
        <f t="shared" si="25"/>
        <v>0.21254790165707674</v>
      </c>
      <c r="BE30" s="20">
        <f t="shared" si="25"/>
        <v>0.21969785474505443</v>
      </c>
      <c r="BF30" s="20">
        <f t="shared" si="25"/>
        <v>0.21638476063815404</v>
      </c>
      <c r="BG30" s="20">
        <f t="shared" si="25"/>
        <v>0.22226115554296258</v>
      </c>
      <c r="BH30" s="20">
        <f t="shared" si="25"/>
        <v>0.22107570204677984</v>
      </c>
      <c r="BI30" s="20">
        <f t="shared" si="25"/>
        <v>0.23364228085613037</v>
      </c>
      <c r="BJ30" s="20">
        <f t="shared" si="25"/>
        <v>0.23633609233809239</v>
      </c>
      <c r="BK30" s="20">
        <f t="shared" si="25"/>
        <v>0.23399399223110379</v>
      </c>
      <c r="BL30" s="20">
        <f t="shared" si="25"/>
        <v>0.22964635521905791</v>
      </c>
      <c r="BM30" s="20">
        <f t="shared" si="25"/>
        <v>0.2276243181840249</v>
      </c>
      <c r="BN30" s="20">
        <f t="shared" si="25"/>
        <v>0.24401513604806438</v>
      </c>
      <c r="BO30" s="20">
        <f t="shared" si="25"/>
        <v>0.23779128479682868</v>
      </c>
      <c r="BP30" s="20">
        <f t="shared" si="25"/>
        <v>0.21837767384841186</v>
      </c>
      <c r="BQ30" s="20">
        <f t="shared" si="25"/>
        <v>0.21387680567515191</v>
      </c>
      <c r="BR30" s="20">
        <f t="shared" si="25"/>
        <v>0.21374943325733567</v>
      </c>
      <c r="BS30" s="20">
        <f t="shared" si="25"/>
        <v>0.21695045346842506</v>
      </c>
      <c r="BT30" s="20">
        <f t="shared" si="25"/>
        <v>0.214098133586553</v>
      </c>
      <c r="BU30" s="20">
        <f t="shared" si="25"/>
        <v>0.20946047732904957</v>
      </c>
      <c r="BV30" s="20">
        <f t="shared" si="25"/>
        <v>0.3043432931204853</v>
      </c>
      <c r="BW30" s="20">
        <f t="shared" si="25"/>
        <v>0.2988603929258255</v>
      </c>
      <c r="BX30" s="20">
        <f t="shared" si="25"/>
        <v>0.29776503100413493</v>
      </c>
      <c r="BY30" s="20">
        <f t="shared" si="25"/>
        <v>0.29974306701922387</v>
      </c>
      <c r="BZ30" s="20">
        <f t="shared" si="25"/>
        <v>0.3002454039058341</v>
      </c>
      <c r="CA30" s="20">
        <f t="shared" si="25"/>
        <v>0.29230818295068217</v>
      </c>
      <c r="CB30" s="20">
        <f t="shared" si="25"/>
        <v>0.29060700330994793</v>
      </c>
      <c r="CC30" s="20">
        <f t="shared" si="25"/>
        <v>0.29211479757089592</v>
      </c>
      <c r="CD30" s="20">
        <f t="shared" si="25"/>
        <v>0.28703909617303963</v>
      </c>
      <c r="CE30" s="20">
        <f t="shared" si="25"/>
        <v>0.28919754870409181</v>
      </c>
      <c r="CF30" s="20">
        <f t="shared" si="25"/>
        <v>0.28854885395522784</v>
      </c>
      <c r="CG30" s="20">
        <f t="shared" si="25"/>
        <v>0.2873534634094318</v>
      </c>
      <c r="CH30" s="20">
        <f t="shared" si="25"/>
        <v>0.28373501427527176</v>
      </c>
      <c r="CI30" s="20">
        <f t="shared" si="25"/>
        <v>0.28170150015556089</v>
      </c>
      <c r="CJ30" s="20">
        <f t="shared" si="25"/>
        <v>0.2769533911486059</v>
      </c>
      <c r="CK30" s="20">
        <f t="shared" si="25"/>
        <v>0.27693625508050673</v>
      </c>
      <c r="CL30" s="20">
        <f t="shared" si="25"/>
        <v>0.27640929480834586</v>
      </c>
      <c r="CM30" s="20">
        <f t="shared" si="25"/>
        <v>0.27489613946880581</v>
      </c>
      <c r="CN30" s="20">
        <f t="shared" si="25"/>
        <v>0.27172123680496552</v>
      </c>
      <c r="CO30" s="20">
        <f t="shared" si="25"/>
        <v>0.27799600630499072</v>
      </c>
      <c r="CP30" s="20">
        <f t="shared" si="25"/>
        <v>0.27431385626751192</v>
      </c>
      <c r="CQ30" s="20">
        <f t="shared" si="25"/>
        <v>0.27968135417663292</v>
      </c>
      <c r="CR30" s="20">
        <f t="shared" si="25"/>
        <v>0.27742761556118467</v>
      </c>
      <c r="CS30" s="20">
        <f t="shared" si="25"/>
        <v>0.28205732213275836</v>
      </c>
      <c r="CT30" s="20"/>
    </row>
    <row r="31" spans="1:111" x14ac:dyDescent="0.35">
      <c r="A31" s="1" t="s">
        <v>49</v>
      </c>
      <c r="B31" s="18"/>
      <c r="C31" s="18"/>
      <c r="D31" s="18">
        <f>(0-98.42+4.15*D11/2.54-0.082*D9/0.4536)/(D9/0.45359)</f>
        <v>0.18016356191087241</v>
      </c>
      <c r="E31" s="18"/>
      <c r="F31" s="18"/>
      <c r="G31" s="18">
        <f>(0-98.42+4.15*G11/2.54-0.082*G9/0.4536)/(G9/0.45359)</f>
        <v>0.22015018651108498</v>
      </c>
      <c r="H31" s="18"/>
      <c r="I31" s="18"/>
      <c r="J31" s="18"/>
      <c r="K31" s="18">
        <f>(0-98.42+4.15*K11/2.54-0.082*K9/0.4536)/(K9/0.45359)</f>
        <v>0.20819402363477887</v>
      </c>
      <c r="L31" s="18">
        <f>(0-98.42+4.15*L11/2.54-0.082*L9/0.4536)/(L9/0.45359)</f>
        <v>0.20627980679877869</v>
      </c>
      <c r="M31" s="18">
        <f>(0-98.42+4.15*M11/2.54-0.082*M9/0.4536)/(M9/0.45359)</f>
        <v>0.20502823806199735</v>
      </c>
      <c r="N31" s="18"/>
      <c r="O31" s="18">
        <f t="shared" ref="O31:BZ31" si="26">(0-98.42+4.15*O11/2.54-0.082*O9/0.4536)/(O9/0.45359)</f>
        <v>0.2054442183957681</v>
      </c>
      <c r="P31" s="18">
        <f t="shared" si="26"/>
        <v>0.18776943998460732</v>
      </c>
      <c r="Q31" s="18">
        <f t="shared" si="26"/>
        <v>0.19764225959967413</v>
      </c>
      <c r="R31" s="18">
        <f t="shared" si="26"/>
        <v>0.20787379082592361</v>
      </c>
      <c r="S31" s="18">
        <f t="shared" si="26"/>
        <v>0.21234555748134021</v>
      </c>
      <c r="T31" s="18">
        <f t="shared" si="26"/>
        <v>0.19972803409335504</v>
      </c>
      <c r="U31" s="18">
        <f t="shared" si="26"/>
        <v>0.18776943998460732</v>
      </c>
      <c r="V31" s="18">
        <f t="shared" si="26"/>
        <v>0.19656257087612797</v>
      </c>
      <c r="W31" s="18">
        <f t="shared" si="26"/>
        <v>0.19578228862650329</v>
      </c>
      <c r="X31" s="18">
        <f t="shared" si="26"/>
        <v>0.19446452719240667</v>
      </c>
      <c r="Y31" s="18">
        <f t="shared" si="26"/>
        <v>0.18945195347885097</v>
      </c>
      <c r="Z31" s="18">
        <f t="shared" si="26"/>
        <v>0.19462002720028423</v>
      </c>
      <c r="AA31" s="18">
        <f t="shared" si="26"/>
        <v>0.19228426653443781</v>
      </c>
      <c r="AB31" s="18">
        <f t="shared" si="26"/>
        <v>0.21300432876490988</v>
      </c>
      <c r="AC31" s="18">
        <f t="shared" si="26"/>
        <v>0.20097207694340494</v>
      </c>
      <c r="AD31" s="18">
        <f t="shared" si="26"/>
        <v>0.19984602838359067</v>
      </c>
      <c r="AE31" s="18">
        <f t="shared" si="26"/>
        <v>0.18571811378533365</v>
      </c>
      <c r="AF31" s="18">
        <f t="shared" si="26"/>
        <v>0.20571031038841836</v>
      </c>
      <c r="AG31" s="18">
        <f t="shared" si="26"/>
        <v>0.21822335532585041</v>
      </c>
      <c r="AH31" s="18">
        <f t="shared" si="26"/>
        <v>0.24349996835770346</v>
      </c>
      <c r="AI31" s="18">
        <f t="shared" si="26"/>
        <v>0.21630003008465457</v>
      </c>
      <c r="AJ31" s="18">
        <f t="shared" si="26"/>
        <v>0.22230821935641884</v>
      </c>
      <c r="AK31" s="18">
        <f t="shared" si="26"/>
        <v>0.21850360134078012</v>
      </c>
      <c r="AL31" s="18">
        <f t="shared" si="26"/>
        <v>0.22522622604295847</v>
      </c>
      <c r="AM31" s="18">
        <f t="shared" si="26"/>
        <v>0.25960823119691745</v>
      </c>
      <c r="AN31" s="18">
        <f t="shared" si="26"/>
        <v>0.25161832423258207</v>
      </c>
      <c r="AO31" s="18">
        <f t="shared" si="26"/>
        <v>0.20697130362407115</v>
      </c>
      <c r="AP31" s="18">
        <f t="shared" si="26"/>
        <v>0.20127662224254686</v>
      </c>
      <c r="AQ31" s="18">
        <f t="shared" si="26"/>
        <v>0.21305324671241491</v>
      </c>
      <c r="AR31" s="18">
        <f t="shared" si="26"/>
        <v>0.20737773048182634</v>
      </c>
      <c r="AS31" s="18">
        <f t="shared" si="26"/>
        <v>0.22230821935641884</v>
      </c>
      <c r="AT31" s="18">
        <f t="shared" si="26"/>
        <v>0.21323352351035385</v>
      </c>
      <c r="AU31" s="18">
        <f t="shared" si="26"/>
        <v>0.18945195347885097</v>
      </c>
      <c r="AV31" s="18">
        <f t="shared" si="26"/>
        <v>0.1888163405573712</v>
      </c>
      <c r="AW31" s="18">
        <f t="shared" si="26"/>
        <v>0.19036164459615715</v>
      </c>
      <c r="AX31" s="18">
        <f t="shared" si="26"/>
        <v>0.19734724908208848</v>
      </c>
      <c r="AY31" s="18">
        <f t="shared" si="26"/>
        <v>0.17430519868962702</v>
      </c>
      <c r="AZ31" s="18">
        <f t="shared" si="26"/>
        <v>0.17904480620325908</v>
      </c>
      <c r="BA31" s="18">
        <f t="shared" si="26"/>
        <v>0.21712292173244629</v>
      </c>
      <c r="BB31" s="18">
        <f t="shared" si="26"/>
        <v>0.21053273148452975</v>
      </c>
      <c r="BC31" s="18">
        <f t="shared" si="26"/>
        <v>0.21066416623506859</v>
      </c>
      <c r="BD31" s="18">
        <f t="shared" si="26"/>
        <v>0.20975884015192556</v>
      </c>
      <c r="BE31" s="18">
        <f t="shared" si="26"/>
        <v>0.21996119081275628</v>
      </c>
      <c r="BF31" s="18">
        <f t="shared" si="26"/>
        <v>0.22125422014625643</v>
      </c>
      <c r="BG31" s="18">
        <f t="shared" si="26"/>
        <v>0.22302575799919183</v>
      </c>
      <c r="BH31" s="18">
        <f t="shared" si="26"/>
        <v>0.22977710831810119</v>
      </c>
      <c r="BI31" s="18">
        <f t="shared" si="26"/>
        <v>0.23674370247903379</v>
      </c>
      <c r="BJ31" s="18">
        <f t="shared" si="26"/>
        <v>0.24825785030129188</v>
      </c>
      <c r="BK31" s="18">
        <f t="shared" si="26"/>
        <v>0.24796255767066375</v>
      </c>
      <c r="BL31" s="18">
        <f t="shared" si="26"/>
        <v>0.24321671437569403</v>
      </c>
      <c r="BM31" s="18">
        <f t="shared" si="26"/>
        <v>0.25179831001127656</v>
      </c>
      <c r="BN31" s="18">
        <f t="shared" si="26"/>
        <v>0.24295296016836285</v>
      </c>
      <c r="BO31" s="18">
        <f t="shared" si="26"/>
        <v>0.24722863322636576</v>
      </c>
      <c r="BP31" s="18">
        <f t="shared" si="26"/>
        <v>0.23030226557483213</v>
      </c>
      <c r="BQ31" s="18">
        <f t="shared" si="26"/>
        <v>0.23364873291408131</v>
      </c>
      <c r="BR31" s="18">
        <f t="shared" si="26"/>
        <v>0.23116023386553186</v>
      </c>
      <c r="BS31" s="18">
        <f t="shared" si="26"/>
        <v>0.21687486533221298</v>
      </c>
      <c r="BT31" s="18">
        <f t="shared" si="26"/>
        <v>0.22295777443790829</v>
      </c>
      <c r="BU31" s="18">
        <f t="shared" si="26"/>
        <v>0.22189588004531277</v>
      </c>
      <c r="BV31" s="18">
        <f t="shared" si="26"/>
        <v>0.28650360636845468</v>
      </c>
      <c r="BW31" s="18">
        <f t="shared" si="26"/>
        <v>0.28041460528545037</v>
      </c>
      <c r="BX31" s="18">
        <f t="shared" si="26"/>
        <v>0.2843735381684066</v>
      </c>
      <c r="BY31" s="18">
        <f t="shared" si="26"/>
        <v>0.28568191746360133</v>
      </c>
      <c r="BZ31" s="18">
        <f t="shared" si="26"/>
        <v>0.30895645938541882</v>
      </c>
      <c r="CA31" s="18">
        <f t="shared" ref="CA31:CS31" si="27">(0-98.42+4.15*CA11/2.54-0.082*CA9/0.4536)/(CA9/0.45359)</f>
        <v>0.28952765395375157</v>
      </c>
      <c r="CB31" s="18">
        <f t="shared" si="27"/>
        <v>0.28778461525114685</v>
      </c>
      <c r="CC31" s="18">
        <f t="shared" si="27"/>
        <v>0.29133041836028667</v>
      </c>
      <c r="CD31" s="18">
        <f t="shared" si="27"/>
        <v>0.27935289791573781</v>
      </c>
      <c r="CE31" s="18">
        <f t="shared" si="27"/>
        <v>0.29527745871627165</v>
      </c>
      <c r="CF31" s="18">
        <f t="shared" si="27"/>
        <v>0.27750060596714238</v>
      </c>
      <c r="CG31" s="18">
        <f t="shared" si="27"/>
        <v>0.29044528439866596</v>
      </c>
      <c r="CH31" s="18">
        <f t="shared" si="27"/>
        <v>0.27875733506087497</v>
      </c>
      <c r="CI31" s="18">
        <f t="shared" si="27"/>
        <v>0.26790129124005324</v>
      </c>
      <c r="CJ31" s="18">
        <f t="shared" si="27"/>
        <v>0.28090635659455415</v>
      </c>
      <c r="CK31" s="18">
        <f t="shared" si="27"/>
        <v>0.27692810940879325</v>
      </c>
      <c r="CL31" s="18">
        <f t="shared" si="27"/>
        <v>0.27309139482689987</v>
      </c>
      <c r="CM31" s="18">
        <f t="shared" si="27"/>
        <v>0.27157034526480472</v>
      </c>
      <c r="CN31" s="18">
        <f t="shared" si="27"/>
        <v>0.28090635659455415</v>
      </c>
      <c r="CO31" s="18">
        <f t="shared" si="27"/>
        <v>0.29002236605481041</v>
      </c>
      <c r="CP31" s="18">
        <f t="shared" si="27"/>
        <v>0.28456692141101458</v>
      </c>
      <c r="CQ31" s="18">
        <f t="shared" si="27"/>
        <v>0.27951506606188115</v>
      </c>
      <c r="CR31" s="18">
        <f t="shared" si="27"/>
        <v>0.27552648788065792</v>
      </c>
      <c r="CS31" s="18">
        <f t="shared" si="27"/>
        <v>0.27026934383190337</v>
      </c>
      <c r="CT31" s="18"/>
    </row>
    <row r="32" spans="1:111" x14ac:dyDescent="0.35">
      <c r="A32" s="1" t="s">
        <v>50</v>
      </c>
      <c r="B32" s="16">
        <f>B9*B30</f>
        <v>15.477431565492978</v>
      </c>
      <c r="C32" s="16"/>
      <c r="D32" s="16">
        <f>D9*D30</f>
        <v>15.949740022121254</v>
      </c>
      <c r="E32" s="16"/>
      <c r="F32" s="16">
        <f>F9*F30</f>
        <v>14.609695571417802</v>
      </c>
      <c r="G32" s="16">
        <f>G9*G30</f>
        <v>18.344903807684421</v>
      </c>
      <c r="H32" s="16"/>
      <c r="I32" s="16"/>
      <c r="J32" s="16"/>
      <c r="K32" s="16">
        <f>K9*K30</f>
        <v>15.274011271757047</v>
      </c>
      <c r="L32" s="16">
        <f>L9*L30</f>
        <v>14.330579279911083</v>
      </c>
      <c r="M32" s="16">
        <f>M9*M30</f>
        <v>13.571528066235013</v>
      </c>
      <c r="N32" s="16"/>
      <c r="O32" s="16">
        <f t="shared" ref="O32:V32" si="28">O9*O30</f>
        <v>14.211046242549298</v>
      </c>
      <c r="P32" s="16">
        <f t="shared" si="28"/>
        <v>13.604128021903733</v>
      </c>
      <c r="Q32" s="16">
        <f t="shared" si="28"/>
        <v>13.147178834683842</v>
      </c>
      <c r="R32" s="16">
        <f t="shared" si="28"/>
        <v>14.034022416271219</v>
      </c>
      <c r="S32" s="16">
        <f t="shared" si="28"/>
        <v>14.08314875694473</v>
      </c>
      <c r="T32" s="16">
        <f t="shared" si="28"/>
        <v>13.655072935421163</v>
      </c>
      <c r="U32" s="16">
        <f t="shared" si="28"/>
        <v>13.264073163251348</v>
      </c>
      <c r="V32" s="16">
        <f t="shared" si="28"/>
        <v>13.810244218778221</v>
      </c>
      <c r="W32" s="16"/>
      <c r="X32" s="16">
        <f t="shared" ref="X32:AF32" si="29">X9*X30</f>
        <v>14.157128328532471</v>
      </c>
      <c r="Y32" s="16">
        <f t="shared" si="29"/>
        <v>14.073113878965801</v>
      </c>
      <c r="Z32" s="16">
        <f t="shared" si="29"/>
        <v>14.427636208579086</v>
      </c>
      <c r="AA32" s="16">
        <f t="shared" si="29"/>
        <v>14.210456296693373</v>
      </c>
      <c r="AB32" s="16">
        <f t="shared" si="29"/>
        <v>14.313768392173392</v>
      </c>
      <c r="AC32" s="16">
        <f t="shared" si="29"/>
        <v>14.546106414019595</v>
      </c>
      <c r="AD32" s="16">
        <f t="shared" si="29"/>
        <v>14.773485329329056</v>
      </c>
      <c r="AE32" s="16">
        <f t="shared" si="29"/>
        <v>14.334738635529147</v>
      </c>
      <c r="AF32" s="16">
        <f t="shared" si="29"/>
        <v>14.391289762002405</v>
      </c>
      <c r="AG32" s="16"/>
      <c r="AH32" s="16">
        <f t="shared" ref="AH32:CS32" si="30">AH9*AH30</f>
        <v>17.363942990205409</v>
      </c>
      <c r="AI32" s="16">
        <f t="shared" si="30"/>
        <v>17.088830121480093</v>
      </c>
      <c r="AJ32" s="16">
        <f t="shared" si="30"/>
        <v>17.496309733578677</v>
      </c>
      <c r="AK32" s="16">
        <f t="shared" si="30"/>
        <v>17.107753542454059</v>
      </c>
      <c r="AL32" s="16">
        <f t="shared" si="30"/>
        <v>16.394350069991059</v>
      </c>
      <c r="AM32" s="16">
        <f t="shared" si="30"/>
        <v>18.873863590959267</v>
      </c>
      <c r="AN32" s="16">
        <f t="shared" si="30"/>
        <v>17.633090077647623</v>
      </c>
      <c r="AO32" s="16">
        <f t="shared" si="30"/>
        <v>13.840000018026359</v>
      </c>
      <c r="AP32" s="16">
        <f t="shared" si="30"/>
        <v>13.309674063038894</v>
      </c>
      <c r="AQ32" s="16">
        <f t="shared" si="30"/>
        <v>14.403853425179287</v>
      </c>
      <c r="AR32" s="16">
        <f t="shared" si="30"/>
        <v>13.997495809620524</v>
      </c>
      <c r="AS32" s="16">
        <f t="shared" si="30"/>
        <v>14.644985831655527</v>
      </c>
      <c r="AT32" s="16">
        <f t="shared" si="30"/>
        <v>14.14355158569845</v>
      </c>
      <c r="AU32" s="16">
        <f t="shared" si="30"/>
        <v>13.910020826534858</v>
      </c>
      <c r="AV32" s="16">
        <f t="shared" si="30"/>
        <v>13.668312931989272</v>
      </c>
      <c r="AW32" s="16">
        <f t="shared" si="30"/>
        <v>13.241693837289908</v>
      </c>
      <c r="AX32" s="16">
        <f t="shared" si="30"/>
        <v>13.160162373889126</v>
      </c>
      <c r="AY32" s="16">
        <f t="shared" si="30"/>
        <v>13.234158483753275</v>
      </c>
      <c r="AZ32" s="16">
        <f t="shared" si="30"/>
        <v>12.814854356310077</v>
      </c>
      <c r="BA32" s="16">
        <f t="shared" si="30"/>
        <v>15.148443921160938</v>
      </c>
      <c r="BB32" s="16">
        <f t="shared" si="30"/>
        <v>16.026111784943588</v>
      </c>
      <c r="BC32" s="16">
        <f t="shared" si="30"/>
        <v>15.826487318782357</v>
      </c>
      <c r="BD32" s="16">
        <f t="shared" si="30"/>
        <v>16.068621365275</v>
      </c>
      <c r="BE32" s="16">
        <f t="shared" si="30"/>
        <v>16.587188033251611</v>
      </c>
      <c r="BF32" s="16">
        <f t="shared" si="30"/>
        <v>16.53179571275497</v>
      </c>
      <c r="BG32" s="16">
        <f t="shared" si="30"/>
        <v>17.314144016796785</v>
      </c>
      <c r="BH32" s="16">
        <f t="shared" si="30"/>
        <v>16.691215504531879</v>
      </c>
      <c r="BI32" s="16">
        <f t="shared" si="30"/>
        <v>18.340919047206235</v>
      </c>
      <c r="BJ32" s="16">
        <f t="shared" si="30"/>
        <v>19.072322651684058</v>
      </c>
      <c r="BK32" s="16">
        <f t="shared" si="30"/>
        <v>18.53232418470342</v>
      </c>
      <c r="BL32" s="16">
        <f t="shared" si="30"/>
        <v>18.348743782002728</v>
      </c>
      <c r="BM32" s="16">
        <f t="shared" si="30"/>
        <v>18.073370863811579</v>
      </c>
      <c r="BN32" s="16">
        <f t="shared" si="30"/>
        <v>18.789165475700958</v>
      </c>
      <c r="BO32" s="16">
        <f t="shared" si="30"/>
        <v>18.072137644558978</v>
      </c>
      <c r="BP32" s="16">
        <f t="shared" si="30"/>
        <v>15.941570190934065</v>
      </c>
      <c r="BQ32" s="16">
        <f t="shared" si="30"/>
        <v>15.698557536556152</v>
      </c>
      <c r="BR32" s="16">
        <f t="shared" si="30"/>
        <v>15.560958741134035</v>
      </c>
      <c r="BS32" s="16">
        <f t="shared" si="30"/>
        <v>16.01094346596977</v>
      </c>
      <c r="BT32" s="16">
        <f t="shared" si="30"/>
        <v>15.693393191894334</v>
      </c>
      <c r="BU32" s="16">
        <f t="shared" si="30"/>
        <v>15.458183226883857</v>
      </c>
      <c r="BV32" s="16">
        <f t="shared" si="30"/>
        <v>26.173523208361736</v>
      </c>
      <c r="BW32" s="16">
        <f t="shared" si="30"/>
        <v>25.522677555865499</v>
      </c>
      <c r="BX32" s="16">
        <f t="shared" si="30"/>
        <v>25.75667518185767</v>
      </c>
      <c r="BY32" s="16">
        <f t="shared" si="30"/>
        <v>26.137595444076322</v>
      </c>
      <c r="BZ32" s="16">
        <f t="shared" si="30"/>
        <v>25.761055655120565</v>
      </c>
      <c r="CA32" s="16">
        <f t="shared" si="30"/>
        <v>24.933888005693188</v>
      </c>
      <c r="CB32" s="16">
        <f t="shared" si="30"/>
        <v>24.614413180352592</v>
      </c>
      <c r="CC32" s="16">
        <f t="shared" si="30"/>
        <v>24.333162637655629</v>
      </c>
      <c r="CD32" s="16">
        <f t="shared" si="30"/>
        <v>23.99646844006611</v>
      </c>
      <c r="CE32" s="16">
        <f t="shared" si="30"/>
        <v>24.292594091143712</v>
      </c>
      <c r="CF32" s="16">
        <f t="shared" si="30"/>
        <v>23.949554878283909</v>
      </c>
      <c r="CG32" s="16">
        <f t="shared" si="30"/>
        <v>23.87907280932378</v>
      </c>
      <c r="CH32" s="16">
        <f t="shared" si="30"/>
        <v>23.351391674854863</v>
      </c>
      <c r="CI32" s="16">
        <f t="shared" si="30"/>
        <v>23.127693162771546</v>
      </c>
      <c r="CJ32" s="16">
        <f t="shared" si="30"/>
        <v>22.488615361266799</v>
      </c>
      <c r="CK32" s="16">
        <f t="shared" si="30"/>
        <v>22.7364665421096</v>
      </c>
      <c r="CL32" s="16">
        <f t="shared" si="30"/>
        <v>22.361511949995183</v>
      </c>
      <c r="CM32" s="16">
        <f t="shared" si="30"/>
        <v>22.046670385398226</v>
      </c>
      <c r="CN32" s="16">
        <f t="shared" si="30"/>
        <v>22.0637644285632</v>
      </c>
      <c r="CO32" s="16">
        <f t="shared" si="30"/>
        <v>22.740073315748241</v>
      </c>
      <c r="CP32" s="16">
        <f t="shared" si="30"/>
        <v>22.329147900175471</v>
      </c>
      <c r="CQ32" s="16">
        <f t="shared" si="30"/>
        <v>22.654189688307266</v>
      </c>
      <c r="CR32" s="16">
        <f t="shared" si="30"/>
        <v>22.693578952904904</v>
      </c>
      <c r="CS32" s="16">
        <f t="shared" si="30"/>
        <v>23.297934808165838</v>
      </c>
      <c r="CT32" s="16"/>
    </row>
    <row r="33" spans="1:98" x14ac:dyDescent="0.35">
      <c r="A33" s="1" t="s">
        <v>51</v>
      </c>
      <c r="B33" s="16">
        <f>B9-B32</f>
        <v>53.522568434507022</v>
      </c>
      <c r="C33" s="16"/>
      <c r="D33" s="16">
        <f>D9-D32</f>
        <v>54.050259977878746</v>
      </c>
      <c r="E33" s="16"/>
      <c r="F33" s="16">
        <f>F9-F32</f>
        <v>56.990304428582192</v>
      </c>
      <c r="G33" s="16">
        <f>G9-G32</f>
        <v>54.655096192315582</v>
      </c>
      <c r="H33" s="16"/>
      <c r="I33" s="16"/>
      <c r="J33" s="16"/>
      <c r="K33" s="16">
        <f>K9-K32</f>
        <v>55.625988728242959</v>
      </c>
      <c r="L33" s="16">
        <f>L9-L32</f>
        <v>54.469420720088912</v>
      </c>
      <c r="M33" s="16">
        <f>M9-M32</f>
        <v>55.528471933764983</v>
      </c>
      <c r="N33" s="16"/>
      <c r="O33" s="16">
        <f t="shared" ref="O33:V33" si="31">O9-O32</f>
        <v>54.788953757450699</v>
      </c>
      <c r="P33" s="16">
        <f t="shared" si="31"/>
        <v>55.795871978096272</v>
      </c>
      <c r="Q33" s="16">
        <f t="shared" si="31"/>
        <v>56.452821165316152</v>
      </c>
      <c r="R33" s="16">
        <f t="shared" si="31"/>
        <v>55.665977583728782</v>
      </c>
      <c r="S33" s="16">
        <f t="shared" si="31"/>
        <v>55.816851243055275</v>
      </c>
      <c r="T33" s="16">
        <f t="shared" si="31"/>
        <v>56.744927064578846</v>
      </c>
      <c r="U33" s="16">
        <f t="shared" si="31"/>
        <v>56.135926836748659</v>
      </c>
      <c r="V33" s="16">
        <f t="shared" si="31"/>
        <v>57.38975578122178</v>
      </c>
      <c r="W33" s="16"/>
      <c r="X33" s="16">
        <f t="shared" ref="X33:AF33" si="32">X9-X32</f>
        <v>56.242871671467533</v>
      </c>
      <c r="Y33" s="16">
        <f t="shared" si="32"/>
        <v>57.626886121034204</v>
      </c>
      <c r="Z33" s="16">
        <f t="shared" si="32"/>
        <v>57.272363791420915</v>
      </c>
      <c r="AA33" s="16">
        <f t="shared" si="32"/>
        <v>57.289543703306627</v>
      </c>
      <c r="AB33" s="16">
        <f t="shared" si="32"/>
        <v>56.686231607826606</v>
      </c>
      <c r="AC33" s="16">
        <f t="shared" si="32"/>
        <v>56.853893585980408</v>
      </c>
      <c r="AD33" s="16">
        <f t="shared" si="32"/>
        <v>58.226514670670944</v>
      </c>
      <c r="AE33" s="16">
        <f t="shared" si="32"/>
        <v>58.365261364470854</v>
      </c>
      <c r="AF33" s="16">
        <f t="shared" si="32"/>
        <v>58.408710237997596</v>
      </c>
      <c r="AG33" s="16"/>
      <c r="AH33" s="16">
        <f t="shared" ref="AH33:CS33" si="33">AH9-AH32</f>
        <v>55.636057009794591</v>
      </c>
      <c r="AI33" s="16">
        <f t="shared" si="33"/>
        <v>55.61116987851991</v>
      </c>
      <c r="AJ33" s="16">
        <f t="shared" si="33"/>
        <v>56.203690266421326</v>
      </c>
      <c r="AK33" s="16">
        <f t="shared" si="33"/>
        <v>56.292246457545943</v>
      </c>
      <c r="AL33" s="16">
        <f t="shared" si="33"/>
        <v>56.605649930008937</v>
      </c>
      <c r="AM33" s="16">
        <f t="shared" si="33"/>
        <v>57.626136409040733</v>
      </c>
      <c r="AN33" s="16">
        <f t="shared" si="33"/>
        <v>57.366909922352377</v>
      </c>
      <c r="AO33" s="16">
        <f t="shared" si="33"/>
        <v>57.359999981973644</v>
      </c>
      <c r="AP33" s="16">
        <f t="shared" si="33"/>
        <v>57.490325936961099</v>
      </c>
      <c r="AQ33" s="16">
        <f t="shared" si="33"/>
        <v>59.096146574820715</v>
      </c>
      <c r="AR33" s="16">
        <f t="shared" si="33"/>
        <v>57.10250419037947</v>
      </c>
      <c r="AS33" s="16">
        <f t="shared" si="33"/>
        <v>59.055014168344478</v>
      </c>
      <c r="AT33" s="16">
        <f t="shared" si="33"/>
        <v>58.056448414301556</v>
      </c>
      <c r="AU33" s="16">
        <f t="shared" si="33"/>
        <v>57.789979173465142</v>
      </c>
      <c r="AV33" s="16">
        <f t="shared" si="33"/>
        <v>56.83168706801073</v>
      </c>
      <c r="AW33" s="16">
        <f t="shared" si="33"/>
        <v>56.858306162710086</v>
      </c>
      <c r="AX33" s="16">
        <f t="shared" si="33"/>
        <v>57.839837626110878</v>
      </c>
      <c r="AY33" s="16">
        <f t="shared" si="33"/>
        <v>58.365841516246718</v>
      </c>
      <c r="AZ33" s="16">
        <f t="shared" si="33"/>
        <v>57.485145643689918</v>
      </c>
      <c r="BA33" s="16">
        <f t="shared" si="33"/>
        <v>57.35155607883906</v>
      </c>
      <c r="BB33" s="16">
        <f t="shared" si="33"/>
        <v>59.373888215056418</v>
      </c>
      <c r="BC33" s="16">
        <f t="shared" si="33"/>
        <v>58.273512681217639</v>
      </c>
      <c r="BD33" s="16">
        <f t="shared" si="33"/>
        <v>59.531378634724994</v>
      </c>
      <c r="BE33" s="16">
        <f t="shared" si="33"/>
        <v>58.912811966748393</v>
      </c>
      <c r="BF33" s="16">
        <f t="shared" si="33"/>
        <v>59.868204287245035</v>
      </c>
      <c r="BG33" s="16">
        <f t="shared" si="33"/>
        <v>60.585855983203217</v>
      </c>
      <c r="BH33" s="16">
        <f t="shared" si="33"/>
        <v>58.808784495468117</v>
      </c>
      <c r="BI33" s="16">
        <f t="shared" si="33"/>
        <v>60.159080952793765</v>
      </c>
      <c r="BJ33" s="16">
        <f t="shared" si="33"/>
        <v>61.627677348315942</v>
      </c>
      <c r="BK33" s="16">
        <f t="shared" si="33"/>
        <v>60.667675815296583</v>
      </c>
      <c r="BL33" s="16">
        <f t="shared" si="33"/>
        <v>61.551256217997278</v>
      </c>
      <c r="BM33" s="16">
        <f t="shared" si="33"/>
        <v>61.32662913618843</v>
      </c>
      <c r="BN33" s="16">
        <f t="shared" si="33"/>
        <v>58.210834524299045</v>
      </c>
      <c r="BO33" s="16">
        <f t="shared" si="33"/>
        <v>57.927862355441022</v>
      </c>
      <c r="BP33" s="16">
        <f t="shared" si="33"/>
        <v>57.058429809065935</v>
      </c>
      <c r="BQ33" s="16">
        <f t="shared" si="33"/>
        <v>57.701442463443854</v>
      </c>
      <c r="BR33" s="16">
        <f t="shared" si="33"/>
        <v>57.23904125886596</v>
      </c>
      <c r="BS33" s="16">
        <f t="shared" si="33"/>
        <v>57.789056534030223</v>
      </c>
      <c r="BT33" s="16">
        <f t="shared" si="33"/>
        <v>57.606606808105667</v>
      </c>
      <c r="BU33" s="16">
        <f t="shared" si="33"/>
        <v>58.341816773116136</v>
      </c>
      <c r="BV33" s="16">
        <f t="shared" si="33"/>
        <v>59.826476791638264</v>
      </c>
      <c r="BW33" s="16">
        <f t="shared" si="33"/>
        <v>59.877322444134506</v>
      </c>
      <c r="BX33" s="16">
        <f t="shared" si="33"/>
        <v>60.743324818142327</v>
      </c>
      <c r="BY33" s="16">
        <f t="shared" si="33"/>
        <v>61.062404555923678</v>
      </c>
      <c r="BZ33" s="16">
        <f t="shared" si="33"/>
        <v>60.038944344879432</v>
      </c>
      <c r="CA33" s="16">
        <f t="shared" si="33"/>
        <v>60.366111994306806</v>
      </c>
      <c r="CB33" s="16">
        <f t="shared" si="33"/>
        <v>60.085586819647411</v>
      </c>
      <c r="CC33" s="16">
        <f t="shared" si="33"/>
        <v>58.966837362344364</v>
      </c>
      <c r="CD33" s="16">
        <f t="shared" si="33"/>
        <v>59.603531559933884</v>
      </c>
      <c r="CE33" s="16">
        <f t="shared" si="33"/>
        <v>59.707405908856288</v>
      </c>
      <c r="CF33" s="16">
        <f t="shared" si="33"/>
        <v>59.050445121716095</v>
      </c>
      <c r="CG33" s="16">
        <f t="shared" si="33"/>
        <v>59.220927190676214</v>
      </c>
      <c r="CH33" s="16">
        <f t="shared" si="33"/>
        <v>58.94860832514513</v>
      </c>
      <c r="CI33" s="16">
        <f t="shared" si="33"/>
        <v>58.972306837228444</v>
      </c>
      <c r="CJ33" s="16">
        <f t="shared" si="33"/>
        <v>58.711384638733207</v>
      </c>
      <c r="CK33" s="16">
        <f t="shared" si="33"/>
        <v>59.363533457890398</v>
      </c>
      <c r="CL33" s="16">
        <f t="shared" si="33"/>
        <v>58.538488050004823</v>
      </c>
      <c r="CM33" s="16">
        <f t="shared" si="33"/>
        <v>58.153329614601773</v>
      </c>
      <c r="CN33" s="16">
        <f t="shared" si="33"/>
        <v>59.136235571436799</v>
      </c>
      <c r="CO33" s="16">
        <f t="shared" si="33"/>
        <v>59.059926684251757</v>
      </c>
      <c r="CP33" s="16">
        <f t="shared" si="33"/>
        <v>59.070852099824535</v>
      </c>
      <c r="CQ33" s="16">
        <f t="shared" si="33"/>
        <v>58.34581031169273</v>
      </c>
      <c r="CR33" s="16">
        <f t="shared" si="33"/>
        <v>59.106421047095097</v>
      </c>
      <c r="CS33" s="16">
        <f t="shared" si="33"/>
        <v>59.30206519183416</v>
      </c>
      <c r="CT33" s="16"/>
    </row>
    <row r="34" spans="1:98" x14ac:dyDescent="0.35">
      <c r="A34" s="7" t="s">
        <v>52</v>
      </c>
      <c r="B34" s="7">
        <f>B33/POWER(Magasság/100,2)</f>
        <v>18.963495051908669</v>
      </c>
      <c r="D34" s="7">
        <f>D33/POWER(Magasság/100,2)</f>
        <v>19.150460593069287</v>
      </c>
      <c r="F34" s="7">
        <f>F33/POWER(Magasság/100,2)</f>
        <v>20.192143008993128</v>
      </c>
      <c r="G34" s="7">
        <f>G33/POWER(Magasság/100,2)</f>
        <v>19.364759138433811</v>
      </c>
      <c r="K34" s="7">
        <f>K33/POWER(Magasság/100,2)</f>
        <v>19.708754509723274</v>
      </c>
      <c r="L34" s="7">
        <f>L33/POWER(Magasság/100,2)</f>
        <v>19.298972760802481</v>
      </c>
      <c r="M34" s="7">
        <f>M33/POWER(Magasság/100,2)</f>
        <v>19.674203491271609</v>
      </c>
      <c r="O34" s="7">
        <f t="shared" ref="O34:V34" si="34">O33/POWER(Magasság/100,2)</f>
        <v>19.412185996829191</v>
      </c>
      <c r="P34" s="7">
        <f t="shared" si="34"/>
        <v>19.768945570470621</v>
      </c>
      <c r="Q34" s="7">
        <f t="shared" si="34"/>
        <v>20.001708179321202</v>
      </c>
      <c r="R34" s="7">
        <f t="shared" si="34"/>
        <v>19.722922896729305</v>
      </c>
      <c r="S34" s="7">
        <f t="shared" si="34"/>
        <v>19.776378700062104</v>
      </c>
      <c r="T34" s="7">
        <f t="shared" si="34"/>
        <v>20.105203750205092</v>
      </c>
      <c r="U34" s="7">
        <f t="shared" si="34"/>
        <v>19.889429859959137</v>
      </c>
      <c r="V34" s="7">
        <f t="shared" si="34"/>
        <v>20.333671974639238</v>
      </c>
      <c r="X34" s="7">
        <f t="shared" ref="X34:AF34" si="35">X33/POWER(Magasság/100,2)</f>
        <v>19.927321312169621</v>
      </c>
      <c r="Y34" s="7">
        <f t="shared" si="35"/>
        <v>20.417689243563711</v>
      </c>
      <c r="Z34" s="7">
        <f t="shared" si="35"/>
        <v>20.292079007731335</v>
      </c>
      <c r="AA34" s="7">
        <f t="shared" si="35"/>
        <v>20.298165994652294</v>
      </c>
      <c r="AB34" s="7">
        <f t="shared" si="35"/>
        <v>20.084407457421563</v>
      </c>
      <c r="AC34" s="7">
        <f t="shared" si="35"/>
        <v>20.143811502969253</v>
      </c>
      <c r="AD34" s="7">
        <f t="shared" si="35"/>
        <v>20.630142669597134</v>
      </c>
      <c r="AE34" s="7">
        <f t="shared" si="35"/>
        <v>20.67930178729835</v>
      </c>
      <c r="AF34" s="7">
        <f t="shared" si="35"/>
        <v>20.694696087725909</v>
      </c>
      <c r="AH34" s="7">
        <f t="shared" ref="AH34:CE34" si="36">AH33/POWER(Magasság/100,2)</f>
        <v>19.712321786350127</v>
      </c>
      <c r="AI34" s="7">
        <f t="shared" si="36"/>
        <v>19.703504066935913</v>
      </c>
      <c r="AJ34" s="7">
        <f t="shared" si="36"/>
        <v>19.913439011628874</v>
      </c>
      <c r="AK34" s="7">
        <f t="shared" si="36"/>
        <v>19.944815213132777</v>
      </c>
      <c r="AL34" s="7">
        <f t="shared" si="36"/>
        <v>20.055856692888657</v>
      </c>
      <c r="AM34" s="7">
        <f t="shared" si="36"/>
        <v>20.417423614314323</v>
      </c>
      <c r="AN34" s="7">
        <f t="shared" si="36"/>
        <v>20.325577495164534</v>
      </c>
      <c r="AO34" s="7">
        <f t="shared" si="36"/>
        <v>20.323129245313794</v>
      </c>
      <c r="AP34" s="7">
        <f t="shared" si="36"/>
        <v>20.369304824603567</v>
      </c>
      <c r="AQ34" s="7">
        <f t="shared" si="36"/>
        <v>20.938260549468794</v>
      </c>
      <c r="AR34" s="7">
        <f t="shared" si="36"/>
        <v>20.231896325956448</v>
      </c>
      <c r="AS34" s="7">
        <f t="shared" si="36"/>
        <v>20.92368699275244</v>
      </c>
      <c r="AT34" s="7">
        <f t="shared" si="36"/>
        <v>20.569886768105714</v>
      </c>
      <c r="AU34" s="7">
        <f t="shared" si="36"/>
        <v>20.4754744803944</v>
      </c>
      <c r="AV34" s="7">
        <f t="shared" si="36"/>
        <v>20.135943547339405</v>
      </c>
      <c r="AW34" s="7">
        <f t="shared" si="36"/>
        <v>20.145374915926194</v>
      </c>
      <c r="AX34" s="7">
        <f t="shared" si="36"/>
        <v>20.493139748480331</v>
      </c>
      <c r="AY34" s="7">
        <f t="shared" si="36"/>
        <v>20.679507339940024</v>
      </c>
      <c r="AZ34" s="7">
        <f t="shared" si="36"/>
        <v>20.367469403234811</v>
      </c>
      <c r="BA34" s="7">
        <f t="shared" si="36"/>
        <v>20.320137499588672</v>
      </c>
      <c r="BB34" s="7">
        <f t="shared" si="36"/>
        <v>21.036666742862963</v>
      </c>
      <c r="BC34" s="7">
        <f t="shared" si="36"/>
        <v>20.646794459048202</v>
      </c>
      <c r="BD34" s="7">
        <f t="shared" si="36"/>
        <v>21.092466919899731</v>
      </c>
      <c r="BE34" s="7">
        <f t="shared" si="36"/>
        <v>20.873303559647251</v>
      </c>
      <c r="BF34" s="7">
        <f t="shared" si="36"/>
        <v>21.211807074562444</v>
      </c>
      <c r="BG34" s="7">
        <f t="shared" si="36"/>
        <v>21.466077091554432</v>
      </c>
      <c r="BH34" s="7">
        <f t="shared" si="36"/>
        <v>20.836445753779806</v>
      </c>
      <c r="BI34" s="7">
        <f t="shared" si="36"/>
        <v>21.314867117628179</v>
      </c>
      <c r="BJ34" s="7">
        <f t="shared" si="36"/>
        <v>21.835203142118747</v>
      </c>
      <c r="BK34" s="7">
        <f t="shared" si="36"/>
        <v>21.495066544535359</v>
      </c>
      <c r="BL34" s="7">
        <f t="shared" si="36"/>
        <v>21.808126494471828</v>
      </c>
      <c r="BM34" s="7">
        <f t="shared" si="36"/>
        <v>21.728539234760643</v>
      </c>
      <c r="BN34" s="7">
        <f t="shared" si="36"/>
        <v>20.624587062180787</v>
      </c>
      <c r="BO34" s="7">
        <f t="shared" si="36"/>
        <v>20.524327648611475</v>
      </c>
      <c r="BP34" s="7">
        <f t="shared" si="36"/>
        <v>20.216280402872005</v>
      </c>
      <c r="BQ34" s="7">
        <f t="shared" si="36"/>
        <v>20.444105181208851</v>
      </c>
      <c r="BR34" s="7">
        <f t="shared" si="36"/>
        <v>20.280272554870312</v>
      </c>
      <c r="BS34" s="7">
        <f t="shared" si="36"/>
        <v>20.475147581501641</v>
      </c>
      <c r="BT34" s="7">
        <f t="shared" si="36"/>
        <v>20.410504112849232</v>
      </c>
      <c r="BU34" s="7">
        <f t="shared" si="36"/>
        <v>20.670995171880719</v>
      </c>
      <c r="BV34" s="7">
        <f t="shared" si="36"/>
        <v>21.197022672774331</v>
      </c>
      <c r="BW34" s="7">
        <f t="shared" si="36"/>
        <v>21.215037714049927</v>
      </c>
      <c r="BX34" s="7">
        <f t="shared" si="36"/>
        <v>21.521869620940453</v>
      </c>
      <c r="BY34" s="7">
        <f t="shared" si="36"/>
        <v>21.634922249122621</v>
      </c>
      <c r="BZ34" s="7">
        <f t="shared" si="36"/>
        <v>21.272301709495267</v>
      </c>
      <c r="CA34" s="7">
        <f t="shared" si="36"/>
        <v>21.388219952631381</v>
      </c>
      <c r="CB34" s="7">
        <f t="shared" si="36"/>
        <v>21.288827529636983</v>
      </c>
      <c r="CC34" s="7">
        <f t="shared" si="36"/>
        <v>20.892445210581197</v>
      </c>
      <c r="CD34" s="7">
        <f t="shared" si="36"/>
        <v>21.11803130666592</v>
      </c>
      <c r="CE34" s="7">
        <f t="shared" si="36"/>
        <v>21.154834859997269</v>
      </c>
      <c r="CF34" s="7">
        <f t="shared" ref="CF34:CG34" si="37">CF33/POWER(Magasság/100,2)</f>
        <v>20.922068141197599</v>
      </c>
      <c r="CG34" s="7">
        <f t="shared" si="37"/>
        <v>20.982471368578594</v>
      </c>
      <c r="CH34" s="7">
        <f t="shared" ref="CH34:CI34" si="38">CH33/POWER(Magasság/100,2)</f>
        <v>20.885986509759473</v>
      </c>
      <c r="CI34" s="7">
        <f t="shared" si="38"/>
        <v>20.894383091421645</v>
      </c>
      <c r="CJ34" s="7">
        <f t="shared" ref="CJ34:CK34" si="39">CJ33/POWER(Magasság/100,2)</f>
        <v>20.80193616735162</v>
      </c>
      <c r="CK34" s="7">
        <f t="shared" si="39"/>
        <v>21.032997965522394</v>
      </c>
      <c r="CL34" s="7">
        <f t="shared" ref="CL34:CM34" si="40">CL33/POWER(Magasság/100,2)</f>
        <v>20.740677455358856</v>
      </c>
      <c r="CM34" s="7">
        <f t="shared" si="40"/>
        <v>20.604212590207549</v>
      </c>
      <c r="CN34" s="7">
        <f t="shared" ref="CN34:CO34" si="41">CN33/POWER(Magasság/100,2)</f>
        <v>20.952464417317461</v>
      </c>
      <c r="CO34" s="7">
        <f t="shared" si="41"/>
        <v>20.925427538354509</v>
      </c>
      <c r="CP34" s="7">
        <f t="shared" ref="CP34:CQ34" si="42">CP33/POWER(Magasság/100,2)</f>
        <v>20.929298504756428</v>
      </c>
      <c r="CQ34" s="7">
        <f t="shared" si="42"/>
        <v>20.672410116104288</v>
      </c>
      <c r="CR34" s="7">
        <f t="shared" ref="CR34:CS34" si="43">CR33/POWER(Magasság/100,2)</f>
        <v>20.941900881198663</v>
      </c>
      <c r="CS34" s="7">
        <f t="shared" si="43"/>
        <v>21.011219243138523</v>
      </c>
    </row>
    <row r="35" spans="1:98" x14ac:dyDescent="0.35">
      <c r="A35" s="7" t="s">
        <v>53</v>
      </c>
      <c r="B35" s="7">
        <f>B34+6.1*(1.8-Magasság/100)</f>
        <v>19.695495051908669</v>
      </c>
      <c r="D35" s="7">
        <f>D34+6.1*(1.8-Magasság/100)</f>
        <v>19.882460593069286</v>
      </c>
      <c r="F35" s="7">
        <f>F34+6.1*(1.8-Magasság/100)</f>
        <v>20.924143008993127</v>
      </c>
      <c r="G35" s="7">
        <f>G34+6.1*(1.8-Magasság/100)</f>
        <v>20.096759138433811</v>
      </c>
      <c r="K35" s="7">
        <f>K34+6.1*(1.8-Magasság/100)</f>
        <v>20.440754509723273</v>
      </c>
      <c r="L35" s="7">
        <f>L34+6.1*(1.8-Magasság/100)</f>
        <v>20.030972760802481</v>
      </c>
      <c r="M35" s="7">
        <f>M34+6.1*(1.8-Magasság/100)</f>
        <v>20.406203491271608</v>
      </c>
      <c r="O35" s="7">
        <f t="shared" ref="O35:V35" si="44">O34+6.1*(1.8-Magasság/100)</f>
        <v>20.14418599682919</v>
      </c>
      <c r="P35" s="7">
        <f t="shared" si="44"/>
        <v>20.50094557047062</v>
      </c>
      <c r="Q35" s="7">
        <f t="shared" si="44"/>
        <v>20.733708179321201</v>
      </c>
      <c r="R35" s="7">
        <f t="shared" si="44"/>
        <v>20.454922896729304</v>
      </c>
      <c r="S35" s="7">
        <f t="shared" si="44"/>
        <v>20.508378700062103</v>
      </c>
      <c r="T35" s="7">
        <f t="shared" si="44"/>
        <v>20.837203750205092</v>
      </c>
      <c r="U35" s="7">
        <f t="shared" si="44"/>
        <v>20.621429859959136</v>
      </c>
      <c r="V35" s="7">
        <f t="shared" si="44"/>
        <v>21.065671974639237</v>
      </c>
      <c r="X35" s="7">
        <f t="shared" ref="X35:AF35" si="45">X34+6.1*(1.8-Magasság/100)</f>
        <v>20.65932131216962</v>
      </c>
      <c r="Y35" s="7">
        <f t="shared" si="45"/>
        <v>21.14968924356371</v>
      </c>
      <c r="Z35" s="7">
        <f t="shared" si="45"/>
        <v>21.024079007731334</v>
      </c>
      <c r="AA35" s="7">
        <f t="shared" si="45"/>
        <v>21.030165994652293</v>
      </c>
      <c r="AB35" s="7">
        <f t="shared" si="45"/>
        <v>20.816407457421562</v>
      </c>
      <c r="AC35" s="7">
        <f t="shared" si="45"/>
        <v>20.875811502969253</v>
      </c>
      <c r="AD35" s="7">
        <f t="shared" si="45"/>
        <v>21.362142669597134</v>
      </c>
      <c r="AE35" s="7">
        <f t="shared" si="45"/>
        <v>21.411301787298349</v>
      </c>
      <c r="AF35" s="7">
        <f t="shared" si="45"/>
        <v>21.426696087725908</v>
      </c>
      <c r="AH35" s="7">
        <f t="shared" ref="AH35:CE35" si="46">AH34+6.1*(1.8-Magasság/100)</f>
        <v>20.444321786350127</v>
      </c>
      <c r="AI35" s="7">
        <f t="shared" si="46"/>
        <v>20.435504066935913</v>
      </c>
      <c r="AJ35" s="7">
        <f t="shared" si="46"/>
        <v>20.645439011628874</v>
      </c>
      <c r="AK35" s="7">
        <f t="shared" si="46"/>
        <v>20.676815213132777</v>
      </c>
      <c r="AL35" s="7">
        <f t="shared" si="46"/>
        <v>20.787856692888656</v>
      </c>
      <c r="AM35" s="7">
        <f t="shared" si="46"/>
        <v>21.149423614314323</v>
      </c>
      <c r="AN35" s="7">
        <f t="shared" si="46"/>
        <v>21.057577495164534</v>
      </c>
      <c r="AO35" s="7">
        <f t="shared" si="46"/>
        <v>21.055129245313793</v>
      </c>
      <c r="AP35" s="7">
        <f t="shared" si="46"/>
        <v>21.101304824603567</v>
      </c>
      <c r="AQ35" s="7">
        <f t="shared" si="46"/>
        <v>21.670260549468793</v>
      </c>
      <c r="AR35" s="7">
        <f t="shared" si="46"/>
        <v>20.963896325956448</v>
      </c>
      <c r="AS35" s="7">
        <f t="shared" si="46"/>
        <v>21.65568699275244</v>
      </c>
      <c r="AT35" s="7">
        <f t="shared" si="46"/>
        <v>21.301886768105714</v>
      </c>
      <c r="AU35" s="7">
        <f t="shared" si="46"/>
        <v>21.207474480394399</v>
      </c>
      <c r="AV35" s="7">
        <f t="shared" si="46"/>
        <v>20.867943547339404</v>
      </c>
      <c r="AW35" s="7">
        <f t="shared" si="46"/>
        <v>20.877374915926193</v>
      </c>
      <c r="AX35" s="7">
        <f t="shared" si="46"/>
        <v>21.225139748480331</v>
      </c>
      <c r="AY35" s="7">
        <f t="shared" si="46"/>
        <v>21.411507339940023</v>
      </c>
      <c r="AZ35" s="7">
        <f t="shared" si="46"/>
        <v>21.09946940323481</v>
      </c>
      <c r="BA35" s="7">
        <f t="shared" si="46"/>
        <v>21.052137499588671</v>
      </c>
      <c r="BB35" s="7">
        <f t="shared" si="46"/>
        <v>21.768666742862962</v>
      </c>
      <c r="BC35" s="7">
        <f t="shared" si="46"/>
        <v>21.378794459048201</v>
      </c>
      <c r="BD35" s="7">
        <f t="shared" si="46"/>
        <v>21.824466919899731</v>
      </c>
      <c r="BE35" s="7">
        <f t="shared" si="46"/>
        <v>21.60530355964725</v>
      </c>
      <c r="BF35" s="7">
        <f t="shared" si="46"/>
        <v>21.943807074562443</v>
      </c>
      <c r="BG35" s="7">
        <f t="shared" si="46"/>
        <v>22.198077091554431</v>
      </c>
      <c r="BH35" s="7">
        <f t="shared" si="46"/>
        <v>21.568445753779805</v>
      </c>
      <c r="BI35" s="7">
        <f t="shared" si="46"/>
        <v>22.046867117628178</v>
      </c>
      <c r="BJ35" s="7">
        <f t="shared" si="46"/>
        <v>22.567203142118746</v>
      </c>
      <c r="BK35" s="7">
        <f t="shared" si="46"/>
        <v>22.227066544535358</v>
      </c>
      <c r="BL35" s="7">
        <f t="shared" si="46"/>
        <v>22.540126494471828</v>
      </c>
      <c r="BM35" s="7">
        <f t="shared" si="46"/>
        <v>22.460539234760642</v>
      </c>
      <c r="BN35" s="7">
        <f t="shared" si="46"/>
        <v>21.356587062180786</v>
      </c>
      <c r="BO35" s="7">
        <f t="shared" si="46"/>
        <v>21.256327648611475</v>
      </c>
      <c r="BP35" s="7">
        <f t="shared" si="46"/>
        <v>20.948280402872005</v>
      </c>
      <c r="BQ35" s="7">
        <f t="shared" si="46"/>
        <v>21.17610518120885</v>
      </c>
      <c r="BR35" s="7">
        <f t="shared" si="46"/>
        <v>21.012272554870311</v>
      </c>
      <c r="BS35" s="7">
        <f t="shared" si="46"/>
        <v>21.207147581501641</v>
      </c>
      <c r="BT35" s="7">
        <f t="shared" si="46"/>
        <v>21.142504112849231</v>
      </c>
      <c r="BU35" s="7">
        <f t="shared" si="46"/>
        <v>21.402995171880718</v>
      </c>
      <c r="BV35" s="7">
        <f t="shared" si="46"/>
        <v>21.92902267277433</v>
      </c>
      <c r="BW35" s="7">
        <f t="shared" si="46"/>
        <v>21.947037714049927</v>
      </c>
      <c r="BX35" s="7">
        <f t="shared" si="46"/>
        <v>22.253869620940453</v>
      </c>
      <c r="BY35" s="7">
        <f t="shared" si="46"/>
        <v>22.36692224912262</v>
      </c>
      <c r="BZ35" s="7">
        <f t="shared" si="46"/>
        <v>22.004301709495266</v>
      </c>
      <c r="CA35" s="7">
        <f t="shared" si="46"/>
        <v>22.120219952631381</v>
      </c>
      <c r="CB35" s="7">
        <f t="shared" si="46"/>
        <v>22.020827529636982</v>
      </c>
      <c r="CC35" s="7">
        <f t="shared" si="46"/>
        <v>21.624445210581197</v>
      </c>
      <c r="CD35" s="7">
        <f t="shared" si="46"/>
        <v>21.850031306665919</v>
      </c>
      <c r="CE35" s="7">
        <f t="shared" si="46"/>
        <v>21.886834859997268</v>
      </c>
      <c r="CF35" s="7">
        <f t="shared" ref="CF35:CG35" si="47">CF34+6.1*(1.8-Magasság/100)</f>
        <v>21.654068141197598</v>
      </c>
      <c r="CG35" s="7">
        <f t="shared" si="47"/>
        <v>21.714471368578593</v>
      </c>
      <c r="CH35" s="7">
        <f t="shared" ref="CH35:CI35" si="48">CH34+6.1*(1.8-Magasság/100)</f>
        <v>21.617986509759472</v>
      </c>
      <c r="CI35" s="7">
        <f t="shared" si="48"/>
        <v>21.626383091421644</v>
      </c>
      <c r="CJ35" s="7">
        <f t="shared" ref="CJ35:CK35" si="49">CJ34+6.1*(1.8-Magasság/100)</f>
        <v>21.533936167351619</v>
      </c>
      <c r="CK35" s="7">
        <f t="shared" si="49"/>
        <v>21.764997965522394</v>
      </c>
      <c r="CL35" s="7">
        <f t="shared" ref="CL35:CM35" si="50">CL34+6.1*(1.8-Magasság/100)</f>
        <v>21.472677455358856</v>
      </c>
      <c r="CM35" s="7">
        <f t="shared" si="50"/>
        <v>21.336212590207548</v>
      </c>
      <c r="CN35" s="7">
        <f t="shared" ref="CN35:CO35" si="51">CN34+6.1*(1.8-Magasság/100)</f>
        <v>21.684464417317461</v>
      </c>
      <c r="CO35" s="7">
        <f t="shared" si="51"/>
        <v>21.657427538354508</v>
      </c>
      <c r="CP35" s="7">
        <f t="shared" ref="CP35:CQ35" si="52">CP34+6.1*(1.8-Magasság/100)</f>
        <v>21.661298504756427</v>
      </c>
      <c r="CQ35" s="7">
        <f t="shared" si="52"/>
        <v>21.404410116104287</v>
      </c>
      <c r="CR35" s="7">
        <f t="shared" ref="CR35:CS35" si="53">CR34+6.1*(1.8-Magasság/100)</f>
        <v>21.673900881198662</v>
      </c>
      <c r="CS35" s="7">
        <f t="shared" si="53"/>
        <v>21.743219243138523</v>
      </c>
    </row>
    <row r="36" spans="1:98" x14ac:dyDescent="0.35">
      <c r="A36" s="7" t="s">
        <v>54</v>
      </c>
      <c r="BZ36" s="7">
        <v>0</v>
      </c>
      <c r="CA36" s="7">
        <f>$BZ$33-CA33</f>
        <v>-0.32716764942737342</v>
      </c>
      <c r="CB36" s="7">
        <f t="shared" ref="CB36:CS36" si="54">$BZ$33-CB33</f>
        <v>-4.6642474767978115E-2</v>
      </c>
      <c r="CC36" s="7">
        <f t="shared" si="54"/>
        <v>1.0721069825350682</v>
      </c>
      <c r="CD36" s="7">
        <f t="shared" si="54"/>
        <v>0.43541278494554803</v>
      </c>
      <c r="CE36" s="7">
        <f t="shared" si="54"/>
        <v>0.33153843602314481</v>
      </c>
      <c r="CF36" s="7">
        <f t="shared" si="54"/>
        <v>0.9884992231633376</v>
      </c>
      <c r="CG36" s="7">
        <f t="shared" si="54"/>
        <v>0.81801715420321841</v>
      </c>
      <c r="CH36" s="7">
        <f t="shared" si="54"/>
        <v>1.0903360197343019</v>
      </c>
      <c r="CI36" s="7">
        <f t="shared" si="54"/>
        <v>1.066637507650988</v>
      </c>
      <c r="CJ36" s="7">
        <f t="shared" si="54"/>
        <v>1.327559706146225</v>
      </c>
      <c r="CK36" s="7">
        <f t="shared" si="54"/>
        <v>0.67541088698903451</v>
      </c>
      <c r="CL36" s="7">
        <f t="shared" si="54"/>
        <v>1.5004562948746099</v>
      </c>
      <c r="CM36" s="7">
        <f t="shared" si="54"/>
        <v>1.8856147302776591</v>
      </c>
      <c r="CN36" s="7">
        <f t="shared" si="54"/>
        <v>0.90270877344263312</v>
      </c>
      <c r="CO36" s="7">
        <f t="shared" si="54"/>
        <v>0.97901766062767592</v>
      </c>
      <c r="CP36" s="7">
        <f t="shared" si="54"/>
        <v>0.96809224505489766</v>
      </c>
      <c r="CQ36" s="7">
        <f t="shared" si="54"/>
        <v>1.693134033186702</v>
      </c>
      <c r="CR36" s="7">
        <f t="shared" si="54"/>
        <v>0.93252329778433563</v>
      </c>
      <c r="CS36" s="7">
        <f t="shared" si="54"/>
        <v>0.73687915304527252</v>
      </c>
    </row>
    <row r="37" spans="1:98" x14ac:dyDescent="0.35">
      <c r="A37" s="7" t="s">
        <v>55</v>
      </c>
      <c r="BZ37" s="7">
        <v>0</v>
      </c>
      <c r="CA37" s="7">
        <f>$BZ$32-CA32</f>
        <v>0.82716764942737697</v>
      </c>
      <c r="CB37" s="7">
        <f t="shared" ref="CB37:CS37" si="55">$BZ$32-CB32</f>
        <v>1.1466424747679724</v>
      </c>
      <c r="CC37" s="7">
        <f t="shared" si="55"/>
        <v>1.4278930174649354</v>
      </c>
      <c r="CD37" s="7">
        <f t="shared" si="55"/>
        <v>1.7645872150544548</v>
      </c>
      <c r="CE37" s="7">
        <f t="shared" si="55"/>
        <v>1.4684615639768523</v>
      </c>
      <c r="CF37" s="7">
        <f t="shared" si="55"/>
        <v>1.811500776836656</v>
      </c>
      <c r="CG37" s="7">
        <f t="shared" si="55"/>
        <v>1.8819828457967844</v>
      </c>
      <c r="CH37" s="7">
        <f t="shared" si="55"/>
        <v>2.4096639802657016</v>
      </c>
      <c r="CI37" s="7">
        <f t="shared" si="55"/>
        <v>2.6333624923490184</v>
      </c>
      <c r="CJ37" s="7">
        <f t="shared" si="55"/>
        <v>3.2724402938537658</v>
      </c>
      <c r="CK37" s="7">
        <f t="shared" si="55"/>
        <v>3.0245891130109648</v>
      </c>
      <c r="CL37" s="7">
        <f t="shared" si="55"/>
        <v>3.3995437051253816</v>
      </c>
      <c r="CM37" s="7">
        <f t="shared" si="55"/>
        <v>3.7143852697223387</v>
      </c>
      <c r="CN37" s="7">
        <f t="shared" si="55"/>
        <v>3.6972912265573648</v>
      </c>
      <c r="CO37" s="7">
        <f t="shared" si="55"/>
        <v>3.0209823393723241</v>
      </c>
      <c r="CP37" s="7">
        <f t="shared" si="55"/>
        <v>3.4319077549450938</v>
      </c>
      <c r="CQ37" s="7">
        <f t="shared" si="55"/>
        <v>3.1068659668132987</v>
      </c>
      <c r="CR37" s="7">
        <f t="shared" si="55"/>
        <v>3.0674767022156608</v>
      </c>
      <c r="CS37" s="7">
        <f t="shared" si="55"/>
        <v>2.4631208469547268</v>
      </c>
    </row>
    <row r="39" spans="1:98" x14ac:dyDescent="0.35">
      <c r="A39" s="1" t="s">
        <v>56</v>
      </c>
      <c r="CS39" s="21" t="s">
        <v>57</v>
      </c>
    </row>
    <row r="40" spans="1:98" x14ac:dyDescent="0.35">
      <c r="A40" s="1" t="s">
        <v>58</v>
      </c>
      <c r="CS40" s="21" t="s">
        <v>59</v>
      </c>
    </row>
    <row r="41" spans="1:98" x14ac:dyDescent="0.35">
      <c r="A41" s="1" t="s">
        <v>60</v>
      </c>
    </row>
    <row r="42" spans="1:98" x14ac:dyDescent="0.35">
      <c r="A42" s="1" t="s">
        <v>61</v>
      </c>
    </row>
    <row r="51" spans="1:21" ht="13" customHeight="1" thickBot="1" x14ac:dyDescent="0.4"/>
    <row r="52" spans="1:21" x14ac:dyDescent="0.3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3"/>
    </row>
    <row r="53" spans="1:21" x14ac:dyDescent="0.35">
      <c r="A53" s="1"/>
      <c r="B53" s="3"/>
      <c r="C53" s="4"/>
      <c r="U53" s="24"/>
    </row>
    <row r="54" spans="1:21" x14ac:dyDescent="0.35">
      <c r="A54" s="1"/>
      <c r="B54" s="1"/>
      <c r="C54" s="4"/>
      <c r="U54" s="24"/>
    </row>
    <row r="55" spans="1:21" x14ac:dyDescent="0.35">
      <c r="A55" s="1"/>
      <c r="B55" s="1"/>
      <c r="C55" s="4"/>
      <c r="U55" s="24"/>
    </row>
    <row r="56" spans="1:21" x14ac:dyDescent="0.35">
      <c r="U56" s="24"/>
    </row>
    <row r="57" spans="1:21" x14ac:dyDescent="0.35">
      <c r="U57" s="24"/>
    </row>
    <row r="58" spans="1:21" x14ac:dyDescent="0.35">
      <c r="A58" s="1"/>
      <c r="B58" s="3"/>
      <c r="C58" s="3"/>
      <c r="D58" s="3"/>
      <c r="E58" s="3"/>
      <c r="F58" s="3"/>
      <c r="G58" s="3"/>
      <c r="H58" s="3"/>
      <c r="U58" s="24"/>
    </row>
    <row r="59" spans="1:21" x14ac:dyDescent="0.35">
      <c r="A59" s="1"/>
      <c r="B59" s="6"/>
      <c r="C59" s="6"/>
      <c r="D59" s="6"/>
      <c r="E59" s="6"/>
      <c r="F59" s="6"/>
      <c r="G59" s="6"/>
      <c r="H59" s="6"/>
      <c r="I59" s="7"/>
      <c r="U59" s="24"/>
    </row>
    <row r="60" spans="1:21" x14ac:dyDescent="0.35">
      <c r="A60" s="1"/>
      <c r="B60" s="1"/>
      <c r="D60" s="1"/>
      <c r="E60" s="1"/>
      <c r="F60" s="1"/>
      <c r="G60" s="1"/>
      <c r="H60" s="1"/>
      <c r="U60" s="24"/>
    </row>
    <row r="61" spans="1:21" x14ac:dyDescent="0.35">
      <c r="A61" s="1"/>
      <c r="B61" s="1"/>
      <c r="F61" s="1"/>
      <c r="G61" s="1"/>
      <c r="H61" s="1"/>
      <c r="U61" s="24"/>
    </row>
    <row r="62" spans="1:21" x14ac:dyDescent="0.35">
      <c r="A62" s="25"/>
      <c r="G62" s="1"/>
      <c r="H62" s="1"/>
      <c r="U62" s="24"/>
    </row>
    <row r="63" spans="1:21" x14ac:dyDescent="0.35">
      <c r="A63" s="1"/>
      <c r="B63" s="1"/>
      <c r="F63" s="1"/>
      <c r="G63" s="1"/>
      <c r="H63" s="1"/>
      <c r="U63" s="24"/>
    </row>
    <row r="64" spans="1:21" x14ac:dyDescent="0.35">
      <c r="A64" s="1"/>
      <c r="B64" s="1"/>
      <c r="F64" s="1"/>
      <c r="G64" s="1"/>
      <c r="H64" s="1"/>
      <c r="U64" s="24"/>
    </row>
    <row r="65" spans="1:21" x14ac:dyDescent="0.35">
      <c r="A65" s="1"/>
      <c r="B65" s="1"/>
      <c r="C65" s="1"/>
      <c r="D65" s="1"/>
      <c r="E65" s="1"/>
      <c r="F65" s="1"/>
      <c r="U65" s="24"/>
    </row>
    <row r="66" spans="1:21" x14ac:dyDescent="0.35">
      <c r="A66" s="1"/>
      <c r="B66" s="1"/>
      <c r="C66" s="1"/>
      <c r="D66" s="1"/>
      <c r="E66" s="1"/>
      <c r="F66" s="1"/>
      <c r="G66" s="1"/>
      <c r="H66" s="1"/>
      <c r="U66" s="24"/>
    </row>
    <row r="67" spans="1:21" x14ac:dyDescent="0.35">
      <c r="A67" s="1"/>
      <c r="B67" s="1"/>
      <c r="D67" s="1"/>
      <c r="E67" s="1"/>
      <c r="F67" s="1"/>
      <c r="H67" s="1"/>
      <c r="U67" s="24"/>
    </row>
    <row r="68" spans="1:21" x14ac:dyDescent="0.35">
      <c r="A68" s="1"/>
      <c r="B68" s="1"/>
      <c r="C68" s="1"/>
      <c r="D68" s="1"/>
      <c r="E68" s="1"/>
      <c r="F68" s="1"/>
      <c r="G68" s="1"/>
      <c r="H68" s="1"/>
      <c r="U68" s="24"/>
    </row>
    <row r="69" spans="1:21" x14ac:dyDescent="0.35">
      <c r="A69" s="1"/>
      <c r="F69" s="1"/>
      <c r="H69" s="1"/>
      <c r="U69" s="24"/>
    </row>
    <row r="70" spans="1:21" x14ac:dyDescent="0.35">
      <c r="A70" s="1"/>
      <c r="F70" s="1"/>
      <c r="U70" s="24"/>
    </row>
    <row r="71" spans="1:21" x14ac:dyDescent="0.35">
      <c r="A71" s="1"/>
      <c r="B71" s="1"/>
      <c r="C71" s="1"/>
      <c r="D71" s="1"/>
      <c r="E71" s="1"/>
      <c r="F71" s="1"/>
      <c r="G71" s="1"/>
      <c r="H71" s="1"/>
      <c r="U71" s="24"/>
    </row>
    <row r="72" spans="1:21" x14ac:dyDescent="0.35">
      <c r="A72" s="1"/>
      <c r="F72" s="1"/>
      <c r="U72" s="24"/>
    </row>
    <row r="73" spans="1:21" x14ac:dyDescent="0.35">
      <c r="A73" s="1"/>
      <c r="B73" s="1"/>
      <c r="C73" s="1"/>
      <c r="D73" s="1"/>
      <c r="E73" s="1"/>
      <c r="F73" s="1"/>
      <c r="G73" s="1"/>
      <c r="H73" s="1"/>
      <c r="U73" s="24"/>
    </row>
    <row r="74" spans="1:21" ht="13" customHeight="1" x14ac:dyDescent="0.35">
      <c r="A74" s="26"/>
      <c r="B74" s="1"/>
      <c r="D74" s="1"/>
      <c r="F74" s="1"/>
      <c r="U74" s="24"/>
    </row>
    <row r="75" spans="1:21" x14ac:dyDescent="0.35">
      <c r="A75" s="1"/>
      <c r="U75" s="24"/>
    </row>
    <row r="76" spans="1:21" x14ac:dyDescent="0.35">
      <c r="A76" s="1"/>
      <c r="B76" s="16"/>
      <c r="C76" s="16"/>
      <c r="D76" s="16"/>
      <c r="E76" s="16"/>
      <c r="F76" s="16"/>
      <c r="G76" s="16"/>
      <c r="H76" s="16"/>
      <c r="U76" s="24"/>
    </row>
    <row r="77" spans="1:21" x14ac:dyDescent="0.35">
      <c r="A77" s="1"/>
      <c r="B77" s="27"/>
      <c r="D77" s="18"/>
      <c r="E77" s="18"/>
      <c r="F77" s="18"/>
      <c r="G77" s="18"/>
      <c r="H77" s="18"/>
      <c r="I77" s="16"/>
      <c r="U77" s="24"/>
    </row>
    <row r="78" spans="1:21" x14ac:dyDescent="0.35">
      <c r="A78" s="1"/>
      <c r="B78" s="28"/>
      <c r="D78" s="18"/>
      <c r="F78" s="18"/>
      <c r="H78" s="29"/>
      <c r="I78" s="18"/>
      <c r="U78" s="24"/>
    </row>
    <row r="79" spans="1:21" x14ac:dyDescent="0.35">
      <c r="A79" s="1"/>
      <c r="B79" s="28"/>
      <c r="F79" s="1"/>
      <c r="I79" s="18"/>
      <c r="U79" s="24"/>
    </row>
    <row r="80" spans="1:21" x14ac:dyDescent="0.35">
      <c r="A80" s="1"/>
      <c r="B80" s="27"/>
      <c r="C80" s="18"/>
      <c r="D80" s="18"/>
      <c r="E80" s="18"/>
      <c r="F80" s="18"/>
      <c r="G80" s="18"/>
      <c r="H80" s="18"/>
      <c r="I80" s="20"/>
      <c r="U80" s="24"/>
    </row>
    <row r="81" spans="1:21" x14ac:dyDescent="0.35">
      <c r="A81" s="1"/>
      <c r="B81" s="27"/>
      <c r="C81" s="18"/>
      <c r="D81" s="18"/>
      <c r="E81" s="18"/>
      <c r="F81" s="18"/>
      <c r="G81" s="18"/>
      <c r="H81" s="18"/>
      <c r="I81" s="18"/>
      <c r="U81" s="24"/>
    </row>
    <row r="82" spans="1:21" x14ac:dyDescent="0.35">
      <c r="A82" s="1"/>
      <c r="B82" s="30"/>
      <c r="F82" s="18"/>
      <c r="G82" s="1"/>
      <c r="U82" s="24"/>
    </row>
    <row r="83" spans="1:21" x14ac:dyDescent="0.35">
      <c r="A83" s="1"/>
      <c r="B83" s="16"/>
      <c r="C83" s="16"/>
      <c r="D83" s="16"/>
      <c r="E83" s="16"/>
      <c r="F83" s="16"/>
      <c r="G83" s="16"/>
      <c r="H83" s="16"/>
      <c r="I83" s="16"/>
      <c r="U83" s="24"/>
    </row>
    <row r="84" spans="1:21" x14ac:dyDescent="0.35">
      <c r="A84" s="1"/>
      <c r="B84" s="16"/>
      <c r="C84" s="16"/>
      <c r="D84" s="16"/>
      <c r="E84" s="16"/>
      <c r="F84" s="16"/>
      <c r="G84" s="16"/>
      <c r="H84" s="16"/>
      <c r="U84" s="24"/>
    </row>
    <row r="85" spans="1:21" x14ac:dyDescent="0.35">
      <c r="A85" s="1"/>
      <c r="U85" s="24"/>
    </row>
    <row r="86" spans="1:21" x14ac:dyDescent="0.35">
      <c r="A86" s="1"/>
      <c r="U86" s="24"/>
    </row>
    <row r="87" spans="1:21" x14ac:dyDescent="0.35">
      <c r="U87" s="24"/>
    </row>
    <row r="88" spans="1:21" x14ac:dyDescent="0.35">
      <c r="U88" s="24"/>
    </row>
    <row r="89" spans="1:21" x14ac:dyDescent="0.35">
      <c r="A89" s="1"/>
      <c r="U89" s="24"/>
    </row>
    <row r="90" spans="1:21" x14ac:dyDescent="0.35">
      <c r="A90" s="1"/>
      <c r="U90" s="24"/>
    </row>
    <row r="91" spans="1:21" ht="13" customHeight="1" thickBot="1" x14ac:dyDescent="0.4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2"/>
    </row>
  </sheetData>
  <pageMargins left="0.78740157499999996" right="0.78740157499999996" top="0.984251969" bottom="0.984251969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Anthropometrics</vt:lpstr>
      <vt:lpstr>Anthropometrics!Magasság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 Marton</dc:creator>
  <cp:lastModifiedBy>Kiss Marton</cp:lastModifiedBy>
  <dcterms:created xsi:type="dcterms:W3CDTF">2015-06-05T18:17:20Z</dcterms:created>
  <dcterms:modified xsi:type="dcterms:W3CDTF">2026-04-04T23:42:59Z</dcterms:modified>
</cp:coreProperties>
</file>